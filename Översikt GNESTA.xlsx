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45672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45672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45672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45672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45672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45672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45672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45672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45672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45672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45672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45672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45672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45672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45672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52828-2020</t>
        </is>
      </c>
      <c r="B17" s="1" t="n">
        <v>44119</v>
      </c>
      <c r="C17" s="1" t="n">
        <v>45672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Hornuggla
Pärluggla</t>
        </is>
      </c>
      <c r="S17">
        <f>HYPERLINK("https://klasma.github.io/Logging_0461/artfynd/A 52828-2020 artfynd.xlsx", "A 52828-2020")</f>
        <v/>
      </c>
      <c r="T17">
        <f>HYPERLINK("https://klasma.github.io/Logging_0461/kartor/A 52828-2020 karta.png", "A 52828-2020")</f>
        <v/>
      </c>
      <c r="V17">
        <f>HYPERLINK("https://klasma.github.io/Logging_0461/klagomål/A 52828-2020 FSC-klagomål.docx", "A 52828-2020")</f>
        <v/>
      </c>
      <c r="W17">
        <f>HYPERLINK("https://klasma.github.io/Logging_0461/klagomålsmail/A 52828-2020 FSC-klagomål mail.docx", "A 52828-2020")</f>
        <v/>
      </c>
      <c r="X17">
        <f>HYPERLINK("https://klasma.github.io/Logging_0461/tillsyn/A 52828-2020 tillsynsbegäran.docx", "A 52828-2020")</f>
        <v/>
      </c>
      <c r="Y17">
        <f>HYPERLINK("https://klasma.github.io/Logging_0461/tillsynsmail/A 52828-2020 tillsynsbegäran mail.docx", "A 52828-2020")</f>
        <v/>
      </c>
      <c r="Z17">
        <f>HYPERLINK("https://klasma.github.io/Logging_0461/fåglar/A 52828-2020 prioriterade fågelarter.docx", "A 52828-2020")</f>
        <v/>
      </c>
    </row>
    <row r="18" ht="15" customHeight="1">
      <c r="A18" t="inlineStr">
        <is>
          <t>A 22906-2021</t>
        </is>
      </c>
      <c r="B18" s="1" t="n">
        <v>44328</v>
      </c>
      <c r="C18" s="1" t="n">
        <v>45672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Gröngöling
Blåsippa</t>
        </is>
      </c>
      <c r="S18">
        <f>HYPERLINK("https://klasma.github.io/Logging_0461/artfynd/A 22906-2021 artfynd.xlsx", "A 22906-2021")</f>
        <v/>
      </c>
      <c r="T18">
        <f>HYPERLINK("https://klasma.github.io/Logging_0461/kartor/A 22906-2021 karta.png", "A 22906-2021")</f>
        <v/>
      </c>
      <c r="V18">
        <f>HYPERLINK("https://klasma.github.io/Logging_0461/klagomål/A 22906-2021 FSC-klagomål.docx", "A 22906-2021")</f>
        <v/>
      </c>
      <c r="W18">
        <f>HYPERLINK("https://klasma.github.io/Logging_0461/klagomålsmail/A 22906-2021 FSC-klagomål mail.docx", "A 22906-2021")</f>
        <v/>
      </c>
      <c r="X18">
        <f>HYPERLINK("https://klasma.github.io/Logging_0461/tillsyn/A 22906-2021 tillsynsbegäran.docx", "A 22906-2021")</f>
        <v/>
      </c>
      <c r="Y18">
        <f>HYPERLINK("https://klasma.github.io/Logging_0461/tillsynsmail/A 22906-2021 tillsynsbegäran mail.docx", "A 22906-2021")</f>
        <v/>
      </c>
      <c r="Z18">
        <f>HYPERLINK("https://klasma.github.io/Logging_0461/fåglar/A 22906-2021 prioriterade fågelarter.docx", "A 22906-2021")</f>
        <v/>
      </c>
    </row>
    <row r="19" ht="15" customHeight="1">
      <c r="A19" t="inlineStr">
        <is>
          <t>A 20124-2022</t>
        </is>
      </c>
      <c r="B19" s="1" t="n">
        <v>44698</v>
      </c>
      <c r="C19" s="1" t="n">
        <v>45672</v>
      </c>
      <c r="D19" t="inlineStr">
        <is>
          <t>SÖDERMANLANDS LÄN</t>
        </is>
      </c>
      <c r="E19" t="inlineStr">
        <is>
          <t>GNESTA</t>
        </is>
      </c>
      <c r="G19" t="n">
        <v>6.2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Orange taggsvamp
Skogshare
Tallticka</t>
        </is>
      </c>
      <c r="S19">
        <f>HYPERLINK("https://klasma.github.io/Logging_0461/artfynd/A 20124-2022 artfynd.xlsx", "A 20124-2022")</f>
        <v/>
      </c>
      <c r="T19">
        <f>HYPERLINK("https://klasma.github.io/Logging_0461/kartor/A 20124-2022 karta.png", "A 20124-2022")</f>
        <v/>
      </c>
      <c r="V19">
        <f>HYPERLINK("https://klasma.github.io/Logging_0461/klagomål/A 20124-2022 FSC-klagomål.docx", "A 20124-2022")</f>
        <v/>
      </c>
      <c r="W19">
        <f>HYPERLINK("https://klasma.github.io/Logging_0461/klagomålsmail/A 20124-2022 FSC-klagomål mail.docx", "A 20124-2022")</f>
        <v/>
      </c>
      <c r="X19">
        <f>HYPERLINK("https://klasma.github.io/Logging_0461/tillsyn/A 20124-2022 tillsynsbegäran.docx", "A 20124-2022")</f>
        <v/>
      </c>
      <c r="Y19">
        <f>HYPERLINK("https://klasma.github.io/Logging_0461/tillsynsmail/A 20124-2022 tillsynsbegäran mail.docx", "A 20124-2022")</f>
        <v/>
      </c>
    </row>
    <row r="20" ht="15" customHeight="1">
      <c r="A20" t="inlineStr">
        <is>
          <t>A 60448-2024</t>
        </is>
      </c>
      <c r="B20" s="1" t="n">
        <v>45643</v>
      </c>
      <c r="C20" s="1" t="n">
        <v>45672</v>
      </c>
      <c r="D20" t="inlineStr">
        <is>
          <t>SÖDERMANLANDS LÄN</t>
        </is>
      </c>
      <c r="E20" t="inlineStr">
        <is>
          <t>GNESTA</t>
        </is>
      </c>
      <c r="G20" t="n">
        <v>1.8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Slåtterfibbla
Tibast
Blåsippa</t>
        </is>
      </c>
      <c r="S20">
        <f>HYPERLINK("https://klasma.github.io/Logging_0461/artfynd/A 60448-2024 artfynd.xlsx", "A 60448-2024")</f>
        <v/>
      </c>
      <c r="T20">
        <f>HYPERLINK("https://klasma.github.io/Logging_0461/kartor/A 60448-2024 karta.png", "A 60448-2024")</f>
        <v/>
      </c>
      <c r="V20">
        <f>HYPERLINK("https://klasma.github.io/Logging_0461/klagomål/A 60448-2024 FSC-klagomål.docx", "A 60448-2024")</f>
        <v/>
      </c>
      <c r="W20">
        <f>HYPERLINK("https://klasma.github.io/Logging_0461/klagomålsmail/A 60448-2024 FSC-klagomål mail.docx", "A 60448-2024")</f>
        <v/>
      </c>
      <c r="X20">
        <f>HYPERLINK("https://klasma.github.io/Logging_0461/tillsyn/A 60448-2024 tillsynsbegäran.docx", "A 60448-2024")</f>
        <v/>
      </c>
      <c r="Y20">
        <f>HYPERLINK("https://klasma.github.io/Logging_0461/tillsynsmail/A 60448-2024 tillsynsbegäran mail.docx", "A 60448-2024")</f>
        <v/>
      </c>
    </row>
    <row r="21" ht="15" customHeight="1">
      <c r="A21" t="inlineStr">
        <is>
          <t>A 37714-2019</t>
        </is>
      </c>
      <c r="B21" s="1" t="n">
        <v>43682</v>
      </c>
      <c r="C21" s="1" t="n">
        <v>45672</v>
      </c>
      <c r="D21" t="inlineStr">
        <is>
          <t>SÖDERMANLANDS LÄN</t>
        </is>
      </c>
      <c r="E21" t="inlineStr">
        <is>
          <t>GNESTA</t>
        </is>
      </c>
      <c r="G21" t="n">
        <v>7.5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Revlummer
Äkta lopplummer</t>
        </is>
      </c>
      <c r="S21">
        <f>HYPERLINK("https://klasma.github.io/Logging_0461/artfynd/A 37714-2019 artfynd.xlsx", "A 37714-2019")</f>
        <v/>
      </c>
      <c r="T21">
        <f>HYPERLINK("https://klasma.github.io/Logging_0461/kartor/A 37714-2019 karta.png", "A 37714-2019")</f>
        <v/>
      </c>
      <c r="V21">
        <f>HYPERLINK("https://klasma.github.io/Logging_0461/klagomål/A 37714-2019 FSC-klagomål.docx", "A 37714-2019")</f>
        <v/>
      </c>
      <c r="W21">
        <f>HYPERLINK("https://klasma.github.io/Logging_0461/klagomålsmail/A 37714-2019 FSC-klagomål mail.docx", "A 37714-2019")</f>
        <v/>
      </c>
      <c r="X21">
        <f>HYPERLINK("https://klasma.github.io/Logging_0461/tillsyn/A 37714-2019 tillsynsbegäran.docx", "A 37714-2019")</f>
        <v/>
      </c>
      <c r="Y21">
        <f>HYPERLINK("https://klasma.github.io/Logging_0461/tillsynsmail/A 37714-2019 tillsynsbegäran mail.docx", "A 37714-2019")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45672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45672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45672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45672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45672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45672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45672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45672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45672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45672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45672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45672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45672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45672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45672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45672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45672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45672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45672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45672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45672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45672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45672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45672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45672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45672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45672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45672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45672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45672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45672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45672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45672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45672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45672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45672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45672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45672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45672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45672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45672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45672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45672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45672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45672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45672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45672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45672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45672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45672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45672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45672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45672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45672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45672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45672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45672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45672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45672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45672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45672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45672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45672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45672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45672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45672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45672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45672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45672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45672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45672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45672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45672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45672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45672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45672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45672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45672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45672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45672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45672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45672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45672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45672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45672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45672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45672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45672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45672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45672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45672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45672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45672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45672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45672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45672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45672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45672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45672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45672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45672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45672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45672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45672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45672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45672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45672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45672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45672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45672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45672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45672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45672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45672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45672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45672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45672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45672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45672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45672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45672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45672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45672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45672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45672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45672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45672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45672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45672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45672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45672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45672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45672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45672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45672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45672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45672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45672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45672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45672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45672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45672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45672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45672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45672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45672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45672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45672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45672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45672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45672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45672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45672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45672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45672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45672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45672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45672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45672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45672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45672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45672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45672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45672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45672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45672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45672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45672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45672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45672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45672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45672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45672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45672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45672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45672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45672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45672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45672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45672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45672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45672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45672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45672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45672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45672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45672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45672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45672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45672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45672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45672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45672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45672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45672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45672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45672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45672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45672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45672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45672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45672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45672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45672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45672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45672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45672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45672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45672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45672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45672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45672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45672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45672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45672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45672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45672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45672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45672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45672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45672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45672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45672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45672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45672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45672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45672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45672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45672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45672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45672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45672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45672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45672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45672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45672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45672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45672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45672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45672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45672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45672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45672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45672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45672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45672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45672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45672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45672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45672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45672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45672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45672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45672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45672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45672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45672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45672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45672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45672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45672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45672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45672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45672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45672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45672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45672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45672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45672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45672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45672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45672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45672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45672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45672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45672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45672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45672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45672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45672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45672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45672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45672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45672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45672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45672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45672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45672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45672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45672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45672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45672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45672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45672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45672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45672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45672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45672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45672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45672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45672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45672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45672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45672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45672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45672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45672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45672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45672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45672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45672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45672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45672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45672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45672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45672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45672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45672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45672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45672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45672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45672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45672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45672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45672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45672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45672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45672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45672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45672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45672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45672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45672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45672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45672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45672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45672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45672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45672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45672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45672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45672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45672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45672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45672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45672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45672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45672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45672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45672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45672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45672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45672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45672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45672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45672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45672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45672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45672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45672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45672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45672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45672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45672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45672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45672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45672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45672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45672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45672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45672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45672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45672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45672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45672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45672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45672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45672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45672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45672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45672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45672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45672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45672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45672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45672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45672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45672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45672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45672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45672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45672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45672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45672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45672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45672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45672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45672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45672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45672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45672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45672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45672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45672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45672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45672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45672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45672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45672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45672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45672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45672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45672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45672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45672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45672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45672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45672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45672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45672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45672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45672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45672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45672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45672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45672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45672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45672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45672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45672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45672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45672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45672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45672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45672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45672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45672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45672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45672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45672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45672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45672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45672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45672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45672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45672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45672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45672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45672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45672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45672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45672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45672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45672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45672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45672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45672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45672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45672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45672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45672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45672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45672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45672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45672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45672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45672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45672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45672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45672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45672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45672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45672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45672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45672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45672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45672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45672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45672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45672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45672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45672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45672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45672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45672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45672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45672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45672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45672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45672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45672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45672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45672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45672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45672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45672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45672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45672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45672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45672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45672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45672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45672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45672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45672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45672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45672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45672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45672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45672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45672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45672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45672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45672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45672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45672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45672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45672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45672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45672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45672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45672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45672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45672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45672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45672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45672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45672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45672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45672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45672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45672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45672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45672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45672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45672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45672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45672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45672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45672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45672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45672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45672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45672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45672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45672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45672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45672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45672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45672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45672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45672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45672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45672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45672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45672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45672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45672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45672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45672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45672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45672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45672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45672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45672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45672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45672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45672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45672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45672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45672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45672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45672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60948-2024</t>
        </is>
      </c>
      <c r="B595" s="1" t="n">
        <v>45645</v>
      </c>
      <c r="C595" s="1" t="n">
        <v>45672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61134-2024</t>
        </is>
      </c>
      <c r="B596" s="1" t="n">
        <v>45645</v>
      </c>
      <c r="C596" s="1" t="n">
        <v>45672</v>
      </c>
      <c r="D596" t="inlineStr">
        <is>
          <t>SÖDERMANLANDS LÄN</t>
        </is>
      </c>
      <c r="E596" t="inlineStr">
        <is>
          <t>GNESTA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61142-2024</t>
        </is>
      </c>
      <c r="B597" s="1" t="n">
        <v>45645</v>
      </c>
      <c r="C597" s="1" t="n">
        <v>45672</v>
      </c>
      <c r="D597" t="inlineStr">
        <is>
          <t>SÖDERMANLANDS LÄN</t>
        </is>
      </c>
      <c r="E597" t="inlineStr">
        <is>
          <t>GNESTA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1160-2025</t>
        </is>
      </c>
      <c r="B598" s="1" t="n">
        <v>45666</v>
      </c>
      <c r="C598" s="1" t="n">
        <v>45672</v>
      </c>
      <c r="D598" t="inlineStr">
        <is>
          <t>SÖDERMANLANDS LÄN</t>
        </is>
      </c>
      <c r="E598" t="inlineStr">
        <is>
          <t>GNESTA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1600-2025</t>
        </is>
      </c>
      <c r="B599" s="1" t="n">
        <v>45667</v>
      </c>
      <c r="C599" s="1" t="n">
        <v>45672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1702-2025</t>
        </is>
      </c>
      <c r="B600" s="1" t="n">
        <v>45670</v>
      </c>
      <c r="C600" s="1" t="n">
        <v>45672</v>
      </c>
      <c r="D600" t="inlineStr">
        <is>
          <t>SÖDERMANLANDS LÄN</t>
        </is>
      </c>
      <c r="E600" t="inlineStr">
        <is>
          <t>GNESTA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1888-2025</t>
        </is>
      </c>
      <c r="B601" s="1" t="n">
        <v>45671</v>
      </c>
      <c r="C601" s="1" t="n">
        <v>45672</v>
      </c>
      <c r="D601" t="inlineStr">
        <is>
          <t>SÖDERMANLANDS LÄN</t>
        </is>
      </c>
      <c r="E601" t="inlineStr">
        <is>
          <t>GNESTA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2025-01-15T16:03:47Z</dcterms:created>
  <dcterms:modified xmlns:dcterms="http://purl.org/dc/terms/" xmlns:xsi="http://www.w3.org/2001/XMLSchema-instance" xsi:type="dcterms:W3CDTF">2025-01-15T16:03:47Z</dcterms:modified>
</cp:coreProperties>
</file>