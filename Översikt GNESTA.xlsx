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43282-2024</t>
        </is>
      </c>
      <c r="B2" t="inlineStr">
        <is>
          <t>avverkningsanmälan</t>
        </is>
      </c>
      <c r="C2" t="inlineStr">
        <is>
          <t>Föryngringsavverkning</t>
        </is>
      </c>
      <c r="D2" s="1" t="n">
        <v>45568</v>
      </c>
      <c r="E2" s="1" t="n">
        <v>46223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2">
        <f>HYPERLINK("https://klasma.github.io/Logging_0461/artfynd/A 43282-2024 artfynd.xlsx", "A 43282-2024")</f>
        <v/>
      </c>
      <c r="W2">
        <f>HYPERLINK("https://klasma.github.io/Logging_0461/kartor/A 43282-2024 karta.png", "A 43282-2024")</f>
        <v/>
      </c>
      <c r="X2">
        <f>HYPERLINK("https://klasma.github.io/Logging_0461/kartor_geotiff/A 43282-2024 georefererad karta.tif", "A 43282-2024")</f>
        <v/>
      </c>
      <c r="Z2">
        <f>HYPERLINK("https://klasma.github.io/Logging_0461/klagomål/A 43282-2024 FSC-klagomål.docx", "A 43282-2024")</f>
        <v/>
      </c>
      <c r="AA2">
        <f>HYPERLINK("https://klasma.github.io/Logging_0461/klagomålsmail/A 43282-2024 FSC-klagomål mail.docx", "A 43282-2024")</f>
        <v/>
      </c>
      <c r="AB2">
        <f>HYPERLINK("https://klasma.github.io/Logging_0461/tillsyn/A 43282-2024 tillsynsbegäran.docx", "A 43282-2024")</f>
        <v/>
      </c>
      <c r="AC2">
        <f>HYPERLINK("https://klasma.github.io/Logging_0461/tillsynsmail/A 43282-2024 tillsynsbegäran mail.docx", "A 43282-2024")</f>
        <v/>
      </c>
      <c r="AD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46223</v>
      </c>
      <c r="F3" t="inlineStr">
        <is>
          <t>SÖDERMANLANDS LÄN</t>
        </is>
      </c>
      <c r="G3" t="inlineStr">
        <is>
          <t>GNESTA</t>
        </is>
      </c>
      <c r="I3" t="n">
        <v>26</v>
      </c>
      <c r="J3" t="n">
        <v>1</v>
      </c>
      <c r="K3" t="n">
        <v>8</v>
      </c>
      <c r="L3" t="n">
        <v>9</v>
      </c>
      <c r="M3" t="n">
        <v>0</v>
      </c>
      <c r="N3" t="n">
        <v>0</v>
      </c>
      <c r="O3" t="n">
        <v>0</v>
      </c>
      <c r="P3" t="n">
        <v>0</v>
      </c>
      <c r="Q3" t="n">
        <v>9</v>
      </c>
      <c r="R3" t="n">
        <v>0</v>
      </c>
      <c r="S3" t="n">
        <v>17</v>
      </c>
      <c r="T3" t="n">
        <v>22</v>
      </c>
      <c r="U3" s="2" t="inlineStr">
        <is>
          <t>Dofttaggsvamp
Gropticka
Kandelabersvamp
Kötticka
Motaggsvamp
Platt spretmossa
Skarp dropptaggsvamp
Tallticka
Ullticka
Blomkålssvamp
Bronshjon
Grön sköldmossa
Kornknutmossa
Mandelriska
Svavelriska
Trådticka
Vågbandad barkbock</t>
        </is>
      </c>
      <c r="V3">
        <f>HYPERLINK("https://klasma.github.io/Logging_0461/artfynd/A 15285-2022 artfynd.xlsx", "A 15285-2022")</f>
        <v/>
      </c>
      <c r="W3">
        <f>HYPERLINK("https://klasma.github.io/Logging_0461/kartor/A 15285-2022 karta.png", "A 15285-2022")</f>
        <v/>
      </c>
      <c r="X3">
        <f>HYPERLINK("https://klasma.github.io/Logging_0461/kartor_geotiff/A 15285-2022 georefererad karta.tif", "A 15285-2022")</f>
        <v/>
      </c>
      <c r="Z3">
        <f>HYPERLINK("https://klasma.github.io/Logging_0461/klagomål/A 15285-2022 FSC-klagomål.docx", "A 15285-2022")</f>
        <v/>
      </c>
      <c r="AA3">
        <f>HYPERLINK("https://klasma.github.io/Logging_0461/klagomålsmail/A 15285-2022 FSC-klagomål mail.docx", "A 15285-2022")</f>
        <v/>
      </c>
      <c r="AB3">
        <f>HYPERLINK("https://klasma.github.io/Logging_0461/tillsyn/A 15285-2022 tillsynsbegäran.docx", "A 15285-2022")</f>
        <v/>
      </c>
      <c r="AC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46223</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s="2" t="inlineStr">
        <is>
          <t>Garnlav
Jättemusseron
Ryl
Skrovlig taggsvamp
Dropptaggsvamp
Dvärgbägarlav
Motaggsvamp
Orange taggsvamp
Tallticka
Vedskivlav
Björksplintborre
Mindre märgborre
Svart taggsvamp agg.
Tjäder</t>
        </is>
      </c>
      <c r="V4">
        <f>HYPERLINK("https://klasma.github.io/Logging_0461/artfynd/A 43303-2024 artfynd.xlsx", "A 43303-2024")</f>
        <v/>
      </c>
      <c r="W4">
        <f>HYPERLINK("https://klasma.github.io/Logging_0461/kartor/A 43303-2024 karta.png", "A 43303-2024")</f>
        <v/>
      </c>
      <c r="X4">
        <f>HYPERLINK("https://klasma.github.io/Logging_0461/kartor_geotiff/A 43303-2024 georefererad karta.tif", "A 43303-2024")</f>
        <v/>
      </c>
      <c r="Z4">
        <f>HYPERLINK("https://klasma.github.io/Logging_0461/klagomål/A 43303-2024 FSC-klagomål.docx", "A 43303-2024")</f>
        <v/>
      </c>
      <c r="AA4">
        <f>HYPERLINK("https://klasma.github.io/Logging_0461/klagomålsmail/A 43303-2024 FSC-klagomål mail.docx", "A 43303-2024")</f>
        <v/>
      </c>
      <c r="AB4">
        <f>HYPERLINK("https://klasma.github.io/Logging_0461/tillsyn/A 43303-2024 tillsynsbegäran.docx", "A 43303-2024")</f>
        <v/>
      </c>
      <c r="AC4">
        <f>HYPERLINK("https://klasma.github.io/Logging_0461/tillsynsmail/A 43303-2024 tillsynsbegäran mail.docx", "A 43303-2024")</f>
        <v/>
      </c>
      <c r="AD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46223</v>
      </c>
      <c r="F5" t="inlineStr">
        <is>
          <t>SÖDERMANLANDS LÄN</t>
        </is>
      </c>
      <c r="G5" t="inlineStr">
        <is>
          <t>GNESTA</t>
        </is>
      </c>
      <c r="I5" t="n">
        <v>6.7</v>
      </c>
      <c r="J5" t="n">
        <v>7</v>
      </c>
      <c r="K5" t="n">
        <v>0</v>
      </c>
      <c r="L5" t="n">
        <v>7</v>
      </c>
      <c r="M5" t="n">
        <v>1</v>
      </c>
      <c r="N5" t="n">
        <v>1</v>
      </c>
      <c r="O5" t="n">
        <v>0</v>
      </c>
      <c r="P5" t="n">
        <v>0</v>
      </c>
      <c r="Q5" t="n">
        <v>9</v>
      </c>
      <c r="R5" t="n">
        <v>2</v>
      </c>
      <c r="S5" t="n">
        <v>14</v>
      </c>
      <c r="T5" t="n">
        <v>17</v>
      </c>
      <c r="U5" s="2" t="inlineStr">
        <is>
          <t>Ask
Tofsvipa
Gullklöver
Gulsparv
Jungfrulin
Klasefibbla
Skrattmås
Svinrot
Vanlig backsmörblomma
Blåsippa
Vitsippa
Gröngöling
Vanlig snok
Gullviva</t>
        </is>
      </c>
      <c r="V5">
        <f>HYPERLINK("https://klasma.github.io/Logging_0461/artfynd/A 29975-2024 artfynd.xlsx", "A 29975-2024")</f>
        <v/>
      </c>
      <c r="W5">
        <f>HYPERLINK("https://klasma.github.io/Logging_0461/kartor/A 29975-2024 karta.png", "A 29975-2024")</f>
        <v/>
      </c>
      <c r="X5">
        <f>HYPERLINK("https://klasma.github.io/Logging_0461/kartor_geotiff/A 29975-2024 georefererad karta.tif", "A 29975-2024")</f>
        <v/>
      </c>
      <c r="Z5">
        <f>HYPERLINK("https://klasma.github.io/Logging_0461/klagomål/A 29975-2024 FSC-klagomål.docx", "A 29975-2024")</f>
        <v/>
      </c>
      <c r="AA5">
        <f>HYPERLINK("https://klasma.github.io/Logging_0461/klagomålsmail/A 29975-2024 FSC-klagomål mail.docx", "A 29975-2024")</f>
        <v/>
      </c>
      <c r="AB5">
        <f>HYPERLINK("https://klasma.github.io/Logging_0461/tillsyn/A 29975-2024 tillsynsbegäran.docx", "A 29975-2024")</f>
        <v/>
      </c>
      <c r="AC5">
        <f>HYPERLINK("https://klasma.github.io/Logging_0461/tillsynsmail/A 29975-2024 tillsynsbegäran mail.docx", "A 29975-2024")</f>
        <v/>
      </c>
      <c r="AD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46223</v>
      </c>
      <c r="F6" t="inlineStr">
        <is>
          <t>SÖDERMANLANDS LÄN</t>
        </is>
      </c>
      <c r="G6" t="inlineStr">
        <is>
          <t>GNESTA</t>
        </is>
      </c>
      <c r="I6" t="n">
        <v>13.4</v>
      </c>
      <c r="J6" t="n">
        <v>2</v>
      </c>
      <c r="K6" t="n">
        <v>6</v>
      </c>
      <c r="L6" t="n">
        <v>3</v>
      </c>
      <c r="M6" t="n">
        <v>0</v>
      </c>
      <c r="N6" t="n">
        <v>1</v>
      </c>
      <c r="O6" t="n">
        <v>0</v>
      </c>
      <c r="P6" t="n">
        <v>0</v>
      </c>
      <c r="Q6" t="n">
        <v>4</v>
      </c>
      <c r="R6" t="n">
        <v>1</v>
      </c>
      <c r="S6" t="n">
        <v>11</v>
      </c>
      <c r="T6" t="n">
        <v>13</v>
      </c>
      <c r="U6" s="2" t="inlineStr">
        <is>
          <t>Skogsalm
Bergjohannesört
Svartvit taggsvamp
Tjockfotad fingersvamp
Grön sköldmossa
Guldlockmossa
Hasselticka
Mandelriska
Stubbspretmossa
Zontaggsvamp
Vanlig padda</t>
        </is>
      </c>
      <c r="V6">
        <f>HYPERLINK("https://klasma.github.io/Logging_0461/artfynd/S 1456-2025 artfynd.xlsx", "S 1456-2025")</f>
        <v/>
      </c>
      <c r="W6">
        <f>HYPERLINK("https://klasma.github.io/Logging_0461/kartor/S 1456-2025 karta.png", "S 1456-2025")</f>
        <v/>
      </c>
      <c r="X6">
        <f>HYPERLINK("https://klasma.github.io/Logging_0461/kartor_geotiff/S 1456-2025 georefererad karta.tif", "S 1456-2025")</f>
        <v/>
      </c>
      <c r="Z6">
        <f>HYPERLINK("https://klasma.github.io/Logging_0461/klagomål/S 1456-2025 FSC-klagomål.docx", "S 1456-2025")</f>
        <v/>
      </c>
      <c r="AA6">
        <f>HYPERLINK("https://klasma.github.io/Logging_0461/klagomålsmail/S 1456-2025 FSC-klagomål mail.docx", "S 1456-2025")</f>
        <v/>
      </c>
      <c r="AB6">
        <f>HYPERLINK("https://klasma.github.io/Logging_0461/tillsyn/S 1456-2025 tillsynsbegäran.docx", "S 1456-2025")</f>
        <v/>
      </c>
      <c r="AC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46223</v>
      </c>
      <c r="F7" t="inlineStr">
        <is>
          <t>SÖDERMANLANDS LÄN</t>
        </is>
      </c>
      <c r="G7" t="inlineStr">
        <is>
          <t>GNESTA</t>
        </is>
      </c>
      <c r="I7" t="n">
        <v>1.1</v>
      </c>
      <c r="J7" t="n">
        <v>2</v>
      </c>
      <c r="K7" t="n">
        <v>3</v>
      </c>
      <c r="L7" t="n">
        <v>3</v>
      </c>
      <c r="M7" t="n">
        <v>0</v>
      </c>
      <c r="N7" t="n">
        <v>1</v>
      </c>
      <c r="O7" t="n">
        <v>0</v>
      </c>
      <c r="P7" t="n">
        <v>0</v>
      </c>
      <c r="Q7" t="n">
        <v>4</v>
      </c>
      <c r="R7" t="n">
        <v>1</v>
      </c>
      <c r="S7" t="n">
        <v>9</v>
      </c>
      <c r="T7" t="n">
        <v>9</v>
      </c>
      <c r="U7" s="2" t="inlineStr">
        <is>
          <t>Koppartaggsvamp
Fjällig taggsvamp s.str.
Persiljespindling
Puderspindling
Diskvaxskivling
Skogshakmossa
Toppvaxing
Blåsippa
Havsörn</t>
        </is>
      </c>
      <c r="V7">
        <f>HYPERLINK("https://klasma.github.io/Logging_0461/artfynd/A 68341-2021 artfynd.xlsx", "A 68341-2021")</f>
        <v/>
      </c>
      <c r="W7">
        <f>HYPERLINK("https://klasma.github.io/Logging_0461/kartor/A 68341-2021 karta.png", "A 68341-2021")</f>
        <v/>
      </c>
      <c r="X7">
        <f>HYPERLINK("https://klasma.github.io/Logging_0461/kartor_geotiff/A 68341-2021 georefererad karta.tif", "A 68341-2021")</f>
        <v/>
      </c>
      <c r="Z7">
        <f>HYPERLINK("https://klasma.github.io/Logging_0461/klagomål/A 68341-2021 FSC-klagomål.docx", "A 68341-2021")</f>
        <v/>
      </c>
      <c r="AA7">
        <f>HYPERLINK("https://klasma.github.io/Logging_0461/klagomålsmail/A 68341-2021 FSC-klagomål mail.docx", "A 68341-2021")</f>
        <v/>
      </c>
      <c r="AB7">
        <f>HYPERLINK("https://klasma.github.io/Logging_0461/tillsyn/A 68341-2021 tillsynsbegäran.docx", "A 68341-2021")</f>
        <v/>
      </c>
      <c r="AC7">
        <f>HYPERLINK("https://klasma.github.io/Logging_0461/tillsynsmail/A 68341-2021 tillsynsbegäran mail.docx", "A 68341-2021")</f>
        <v/>
      </c>
      <c r="AD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46223</v>
      </c>
      <c r="F8" t="inlineStr">
        <is>
          <t>SÖDERMANLANDS LÄN</t>
        </is>
      </c>
      <c r="G8" t="inlineStr">
        <is>
          <t>GNESTA</t>
        </is>
      </c>
      <c r="I8" t="n">
        <v>3.5</v>
      </c>
      <c r="J8" t="n">
        <v>4</v>
      </c>
      <c r="K8" t="n">
        <v>1</v>
      </c>
      <c r="L8" t="n">
        <v>3</v>
      </c>
      <c r="M8" t="n">
        <v>0</v>
      </c>
      <c r="N8" t="n">
        <v>0</v>
      </c>
      <c r="O8" t="n">
        <v>0</v>
      </c>
      <c r="P8" t="n">
        <v>0</v>
      </c>
      <c r="Q8" t="n">
        <v>3</v>
      </c>
      <c r="R8" t="n">
        <v>0</v>
      </c>
      <c r="S8" t="n">
        <v>8</v>
      </c>
      <c r="T8" t="n">
        <v>21</v>
      </c>
      <c r="U8" s="2" t="inlineStr">
        <is>
          <t>Dropptaggsvamp
Rynkskinn
Tallticka
Grönpyrola
Blåsippa
Tjäder
Revlummer
Äkta lopplummer</t>
        </is>
      </c>
      <c r="V8">
        <f>HYPERLINK("https://klasma.github.io/Logging_0461/artfynd/A 6539-2024 artfynd.xlsx", "A 6539-2024")</f>
        <v/>
      </c>
      <c r="W8">
        <f>HYPERLINK("https://klasma.github.io/Logging_0461/kartor/A 6539-2024 karta.png", "A 6539-2024")</f>
        <v/>
      </c>
      <c r="X8">
        <f>HYPERLINK("https://klasma.github.io/Logging_0461/kartor_geotiff/A 6539-2024 georefererad karta.tif", "A 6539-2024")</f>
        <v/>
      </c>
      <c r="Z8">
        <f>HYPERLINK("https://klasma.github.io/Logging_0461/klagomål/A 6539-2024 FSC-klagomål.docx", "A 6539-2024")</f>
        <v/>
      </c>
      <c r="AA8">
        <f>HYPERLINK("https://klasma.github.io/Logging_0461/klagomålsmail/A 6539-2024 FSC-klagomål mail.docx", "A 6539-2024")</f>
        <v/>
      </c>
      <c r="AB8">
        <f>HYPERLINK("https://klasma.github.io/Logging_0461/tillsyn/A 6539-2024 tillsynsbegäran.docx", "A 6539-2024")</f>
        <v/>
      </c>
      <c r="AC8">
        <f>HYPERLINK("https://klasma.github.io/Logging_0461/tillsynsmail/A 6539-2024 tillsynsbegäran mail.docx", "A 6539-2024")</f>
        <v/>
      </c>
      <c r="AD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46223</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s="2" t="inlineStr">
        <is>
          <t>Dropptaggsvamp
Dvärgbägarlav
Kandelabersvamp
Motaggsvamp
Aspvedgnagare
Bronshjon
Flagellkvastmossa
Granbarkgnagare</t>
        </is>
      </c>
      <c r="V9">
        <f>HYPERLINK("https://klasma.github.io/Logging_0461/artfynd/A 35182-2024 artfynd.xlsx", "A 35182-2024")</f>
        <v/>
      </c>
      <c r="W9">
        <f>HYPERLINK("https://klasma.github.io/Logging_0461/kartor/A 35182-2024 karta.png", "A 35182-2024")</f>
        <v/>
      </c>
      <c r="X9">
        <f>HYPERLINK("https://klasma.github.io/Logging_0461/kartor_geotiff/A 35182-2024 georefererad karta.tif", "A 35182-2024")</f>
        <v/>
      </c>
      <c r="Z9">
        <f>HYPERLINK("https://klasma.github.io/Logging_0461/klagomål/A 35182-2024 FSC-klagomål.docx", "A 35182-2024")</f>
        <v/>
      </c>
      <c r="AA9">
        <f>HYPERLINK("https://klasma.github.io/Logging_0461/klagomålsmail/A 35182-2024 FSC-klagomål mail.docx", "A 35182-2024")</f>
        <v/>
      </c>
      <c r="AB9">
        <f>HYPERLINK("https://klasma.github.io/Logging_0461/tillsyn/A 35182-2024 tillsynsbegäran.docx", "A 35182-2024")</f>
        <v/>
      </c>
      <c r="AC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46223</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s="2" t="inlineStr">
        <is>
          <t>Grönfink
Bergsslok
Blåbär
Kransmossa
Linnea
Vitsippa
Kråka</t>
        </is>
      </c>
      <c r="V10">
        <f>HYPERLINK("https://klasma.github.io/Logging_0461/artfynd/A 59619-2021 artfynd.xlsx", "A 59619-2021")</f>
        <v/>
      </c>
      <c r="W10">
        <f>HYPERLINK("https://klasma.github.io/Logging_0461/kartor/A 59619-2021 karta.png", "A 59619-2021")</f>
        <v/>
      </c>
      <c r="X10">
        <f>HYPERLINK("https://klasma.github.io/Logging_0461/kartor_geotiff/A 59619-2021 georefererad karta.tif", "A 59619-2021")</f>
        <v/>
      </c>
      <c r="Z10">
        <f>HYPERLINK("https://klasma.github.io/Logging_0461/klagomål/A 59619-2021 FSC-klagomål.docx", "A 59619-2021")</f>
        <v/>
      </c>
      <c r="AA10">
        <f>HYPERLINK("https://klasma.github.io/Logging_0461/klagomålsmail/A 59619-2021 FSC-klagomål mail.docx", "A 59619-2021")</f>
        <v/>
      </c>
      <c r="AB10">
        <f>HYPERLINK("https://klasma.github.io/Logging_0461/tillsyn/A 59619-2021 tillsynsbegäran.docx", "A 59619-2021")</f>
        <v/>
      </c>
      <c r="AC10">
        <f>HYPERLINK("https://klasma.github.io/Logging_0461/tillsynsmail/A 59619-2021 tillsynsbegäran mail.docx", "A 59619-2021")</f>
        <v/>
      </c>
      <c r="AD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46223</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s="2" t="inlineStr">
        <is>
          <t>Motaggsvamp
Ullticka
Vedskivlav
Blåmossa
Flagellkvastmossa
Mindre märgborre
Trind spretmossa</t>
        </is>
      </c>
      <c r="V11">
        <f>HYPERLINK("https://klasma.github.io/Logging_0461/artfynd/S 1455-2025 artfynd.xlsx", "S 1455-2025")</f>
        <v/>
      </c>
      <c r="W11">
        <f>HYPERLINK("https://klasma.github.io/Logging_0461/kartor/S 1455-2025 karta.png", "S 1455-2025")</f>
        <v/>
      </c>
      <c r="X11">
        <f>HYPERLINK("https://klasma.github.io/Logging_0461/kartor_geotiff/S 1455-2025 georefererad karta.tif", "S 1455-2025")</f>
        <v/>
      </c>
      <c r="Z11">
        <f>HYPERLINK("https://klasma.github.io/Logging_0461/klagomål/S 1455-2025 FSC-klagomål.docx", "S 1455-2025")</f>
        <v/>
      </c>
      <c r="AA11">
        <f>HYPERLINK("https://klasma.github.io/Logging_0461/klagomålsmail/S 1455-2025 FSC-klagomål mail.docx", "S 1455-2025")</f>
        <v/>
      </c>
      <c r="AB11">
        <f>HYPERLINK("https://klasma.github.io/Logging_0461/tillsyn/S 1455-2025 tillsynsbegäran.docx", "S 1455-2025")</f>
        <v/>
      </c>
      <c r="AC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46223</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s="2" t="inlineStr">
        <is>
          <t>Motaggsvamp
Ullticka
Vedskivlav
Björksplintborre
Blomkålssvamp
Bronshjon</t>
        </is>
      </c>
      <c r="V12">
        <f>HYPERLINK("https://klasma.github.io/Logging_0461/artfynd/A 49248-2025 artfynd.xlsx", "A 49248-2025")</f>
        <v/>
      </c>
      <c r="W12">
        <f>HYPERLINK("https://klasma.github.io/Logging_0461/kartor/A 49248-2025 karta.png", "A 49248-2025")</f>
        <v/>
      </c>
      <c r="X12">
        <f>HYPERLINK("https://klasma.github.io/Logging_0461/kartor_geotiff/A 49248-2025 georefererad karta.tif", "A 49248-2025")</f>
        <v/>
      </c>
      <c r="Z12">
        <f>HYPERLINK("https://klasma.github.io/Logging_0461/klagomål/A 49248-2025 FSC-klagomål.docx", "A 49248-2025")</f>
        <v/>
      </c>
      <c r="AA12">
        <f>HYPERLINK("https://klasma.github.io/Logging_0461/klagomålsmail/A 49248-2025 FSC-klagomål mail.docx", "A 49248-2025")</f>
        <v/>
      </c>
      <c r="AB12">
        <f>HYPERLINK("https://klasma.github.io/Logging_0461/tillsyn/A 49248-2025 tillsynsbegäran.docx", "A 49248-2025")</f>
        <v/>
      </c>
      <c r="AC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46223</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s="2" t="inlineStr">
        <is>
          <t>Dropptaggsvamp
Motaggsvamp
Orange taggsvamp
Skogshare
Tallticka
Orre</t>
        </is>
      </c>
      <c r="V13">
        <f>HYPERLINK("https://klasma.github.io/Logging_0461/artfynd/A 20124-2022 artfynd.xlsx", "A 20124-2022")</f>
        <v/>
      </c>
      <c r="W13">
        <f>HYPERLINK("https://klasma.github.io/Logging_0461/kartor/A 20124-2022 karta.png", "A 20124-2022")</f>
        <v/>
      </c>
      <c r="X13">
        <f>HYPERLINK("https://klasma.github.io/Logging_0461/kartor_geotiff/A 20124-2022 georefererad karta.tif", "A 20124-2022")</f>
        <v/>
      </c>
      <c r="Z13">
        <f>HYPERLINK("https://klasma.github.io/Logging_0461/klagomål/A 20124-2022 FSC-klagomål.docx", "A 20124-2022")</f>
        <v/>
      </c>
      <c r="AA13">
        <f>HYPERLINK("https://klasma.github.io/Logging_0461/klagomålsmail/A 20124-2022 FSC-klagomål mail.docx", "A 20124-2022")</f>
        <v/>
      </c>
      <c r="AB13">
        <f>HYPERLINK("https://klasma.github.io/Logging_0461/tillsyn/A 20124-2022 tillsynsbegäran.docx", "A 20124-2022")</f>
        <v/>
      </c>
      <c r="AC13">
        <f>HYPERLINK("https://klasma.github.io/Logging_0461/tillsynsmail/A 20124-2022 tillsynsbegäran mail.docx", "A 20124-2022")</f>
        <v/>
      </c>
      <c r="AD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46223</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s="2" t="inlineStr">
        <is>
          <t>Kandelabersvamp
Storgröe
Vårärt
Svart trolldruva</t>
        </is>
      </c>
      <c r="V14">
        <f>HYPERLINK("https://klasma.github.io/Logging_0461/artfynd/A 73482-2021 artfynd.xlsx", "A 73482-2021")</f>
        <v/>
      </c>
      <c r="W14">
        <f>HYPERLINK("https://klasma.github.io/Logging_0461/kartor/A 73482-2021 karta.png", "A 73482-2021")</f>
        <v/>
      </c>
      <c r="X14">
        <f>HYPERLINK("https://klasma.github.io/Logging_0461/kartor_geotiff/A 73482-2021 georefererad karta.tif", "A 73482-2021")</f>
        <v/>
      </c>
      <c r="Z14">
        <f>HYPERLINK("https://klasma.github.io/Logging_0461/klagomål/A 73482-2021 FSC-klagomål.docx", "A 73482-2021")</f>
        <v/>
      </c>
      <c r="AA14">
        <f>HYPERLINK("https://klasma.github.io/Logging_0461/klagomålsmail/A 73482-2021 FSC-klagomål mail.docx", "A 73482-2021")</f>
        <v/>
      </c>
      <c r="AB14">
        <f>HYPERLINK("https://klasma.github.io/Logging_0461/tillsyn/A 73482-2021 tillsynsbegäran.docx", "A 73482-2021")</f>
        <v/>
      </c>
      <c r="AC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46223</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s="2" t="inlineStr">
        <is>
          <t>Grönfink
Järnsparv
Svartvit flugsnappare</t>
        </is>
      </c>
      <c r="V15">
        <f>HYPERLINK("https://klasma.github.io/Logging_0461/artfynd/A 62022-2022 artfynd.xlsx", "A 62022-2022")</f>
        <v/>
      </c>
      <c r="W15">
        <f>HYPERLINK("https://klasma.github.io/Logging_0461/kartor/A 62022-2022 karta.png", "A 62022-2022")</f>
        <v/>
      </c>
      <c r="X15">
        <f>HYPERLINK("https://klasma.github.io/Logging_0461/kartor_geotiff/A 62022-2022 georefererad karta.tif", "A 62022-2022")</f>
        <v/>
      </c>
      <c r="Z15">
        <f>HYPERLINK("https://klasma.github.io/Logging_0461/klagomål/A 62022-2022 FSC-klagomål.docx", "A 62022-2022")</f>
        <v/>
      </c>
      <c r="AA15">
        <f>HYPERLINK("https://klasma.github.io/Logging_0461/klagomålsmail/A 62022-2022 FSC-klagomål mail.docx", "A 62022-2022")</f>
        <v/>
      </c>
      <c r="AB15">
        <f>HYPERLINK("https://klasma.github.io/Logging_0461/tillsyn/A 62022-2022 tillsynsbegäran.docx", "A 62022-2022")</f>
        <v/>
      </c>
      <c r="AC15">
        <f>HYPERLINK("https://klasma.github.io/Logging_0461/tillsynsmail/A 62022-2022 tillsynsbegäran mail.docx", "A 62022-2022")</f>
        <v/>
      </c>
      <c r="AD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46223</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s="2" t="inlineStr">
        <is>
          <t>Åkerkulla
Kungsfågel
Revlummer</t>
        </is>
      </c>
      <c r="V16">
        <f>HYPERLINK("https://klasma.github.io/Logging_0461/artfynd/A 39981-2025 artfynd.xlsx", "A 39981-2025")</f>
        <v/>
      </c>
      <c r="W16">
        <f>HYPERLINK("https://klasma.github.io/Logging_0461/kartor/A 39981-2025 karta.png", "A 39981-2025")</f>
        <v/>
      </c>
      <c r="X16">
        <f>HYPERLINK("https://klasma.github.io/Logging_0461/kartor_geotiff/A 39981-2025 georefererad karta.tif", "A 39981-2025")</f>
        <v/>
      </c>
      <c r="Z16">
        <f>HYPERLINK("https://klasma.github.io/Logging_0461/klagomål/A 39981-2025 FSC-klagomål.docx", "A 39981-2025")</f>
        <v/>
      </c>
      <c r="AA16">
        <f>HYPERLINK("https://klasma.github.io/Logging_0461/klagomålsmail/A 39981-2025 FSC-klagomål mail.docx", "A 39981-2025")</f>
        <v/>
      </c>
      <c r="AB16">
        <f>HYPERLINK("https://klasma.github.io/Logging_0461/tillsyn/A 39981-2025 tillsynsbegäran.docx", "A 39981-2025")</f>
        <v/>
      </c>
      <c r="AC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46223</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s="2" t="inlineStr">
        <is>
          <t>Brandnäva
Gullklöver
Svedjenäva</t>
        </is>
      </c>
      <c r="V17">
        <f>HYPERLINK("https://klasma.github.io/Logging_0461/artfynd/A 53063-2023 artfynd.xlsx", "A 53063-2023")</f>
        <v/>
      </c>
      <c r="W17">
        <f>HYPERLINK("https://klasma.github.io/Logging_0461/kartor/A 53063-2023 karta.png", "A 53063-2023")</f>
        <v/>
      </c>
      <c r="X17">
        <f>HYPERLINK("https://klasma.github.io/Logging_0461/kartor_geotiff/A 53063-2023 georefererad karta.tif", "A 53063-2023")</f>
        <v/>
      </c>
      <c r="Z17">
        <f>HYPERLINK("https://klasma.github.io/Logging_0461/klagomål/A 53063-2023 FSC-klagomål.docx", "A 53063-2023")</f>
        <v/>
      </c>
      <c r="AA17">
        <f>HYPERLINK("https://klasma.github.io/Logging_0461/klagomålsmail/A 53063-2023 FSC-klagomål mail.docx", "A 53063-2023")</f>
        <v/>
      </c>
      <c r="AB17">
        <f>HYPERLINK("https://klasma.github.io/Logging_0461/tillsyn/A 53063-2023 tillsynsbegäran.docx", "A 53063-2023")</f>
        <v/>
      </c>
      <c r="AC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46223</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s="2" t="inlineStr">
        <is>
          <t>Slåtterfibbla
Tibast
Blåsippa</t>
        </is>
      </c>
      <c r="V18">
        <f>HYPERLINK("https://klasma.github.io/Logging_0461/artfynd/A 60448-2024 artfynd.xlsx", "A 60448-2024")</f>
        <v/>
      </c>
      <c r="W18">
        <f>HYPERLINK("https://klasma.github.io/Logging_0461/kartor/A 60448-2024 karta.png", "A 60448-2024")</f>
        <v/>
      </c>
      <c r="X18">
        <f>HYPERLINK("https://klasma.github.io/Logging_0461/kartor_geotiff/A 60448-2024 georefererad karta.tif", "A 60448-2024")</f>
        <v/>
      </c>
      <c r="Z18">
        <f>HYPERLINK("https://klasma.github.io/Logging_0461/klagomål/A 60448-2024 FSC-klagomål.docx", "A 60448-2024")</f>
        <v/>
      </c>
      <c r="AA18">
        <f>HYPERLINK("https://klasma.github.io/Logging_0461/klagomålsmail/A 60448-2024 FSC-klagomål mail.docx", "A 60448-2024")</f>
        <v/>
      </c>
      <c r="AB18">
        <f>HYPERLINK("https://klasma.github.io/Logging_0461/tillsyn/A 60448-2024 tillsynsbegäran.docx", "A 60448-2024")</f>
        <v/>
      </c>
      <c r="AC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46223</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s="2" t="inlineStr">
        <is>
          <t>Vedskivlav
Blodticka
Mattlummer</t>
        </is>
      </c>
      <c r="V19">
        <f>HYPERLINK("https://klasma.github.io/Logging_0461/artfynd/A 21220-2025 artfynd.xlsx", "A 21220-2025")</f>
        <v/>
      </c>
      <c r="W19">
        <f>HYPERLINK("https://klasma.github.io/Logging_0461/kartor/A 21220-2025 karta.png", "A 21220-2025")</f>
        <v/>
      </c>
      <c r="X19">
        <f>HYPERLINK("https://klasma.github.io/Logging_0461/kartor_geotiff/A 21220-2025 georefererad karta.tif", "A 21220-2025")</f>
        <v/>
      </c>
      <c r="Z19">
        <f>HYPERLINK("https://klasma.github.io/Logging_0461/klagomål/A 21220-2025 FSC-klagomål.docx", "A 21220-2025")</f>
        <v/>
      </c>
      <c r="AA19">
        <f>HYPERLINK("https://klasma.github.io/Logging_0461/klagomålsmail/A 21220-2025 FSC-klagomål mail.docx", "A 21220-2025")</f>
        <v/>
      </c>
      <c r="AB19">
        <f>HYPERLINK("https://klasma.github.io/Logging_0461/tillsyn/A 21220-2025 tillsynsbegäran.docx", "A 21220-2025")</f>
        <v/>
      </c>
      <c r="AC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46223</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s="2" t="inlineStr">
        <is>
          <t>Vedtrappmossa
Svavelriska</t>
        </is>
      </c>
      <c r="V20">
        <f>HYPERLINK("https://klasma.github.io/Logging_0461/artfynd/A 32252-2022 artfynd.xlsx", "A 32252-2022")</f>
        <v/>
      </c>
      <c r="W20">
        <f>HYPERLINK("https://klasma.github.io/Logging_0461/kartor/A 32252-2022 karta.png", "A 32252-2022")</f>
        <v/>
      </c>
      <c r="X20">
        <f>HYPERLINK("https://klasma.github.io/Logging_0461/kartor_geotiff/A 32252-2022 georefererad karta.tif", "A 32252-2022")</f>
        <v/>
      </c>
      <c r="Z20">
        <f>HYPERLINK("https://klasma.github.io/Logging_0461/klagomål/A 32252-2022 FSC-klagomål.docx", "A 32252-2022")</f>
        <v/>
      </c>
      <c r="AA20">
        <f>HYPERLINK("https://klasma.github.io/Logging_0461/klagomålsmail/A 32252-2022 FSC-klagomål mail.docx", "A 32252-2022")</f>
        <v/>
      </c>
      <c r="AB20">
        <f>HYPERLINK("https://klasma.github.io/Logging_0461/tillsyn/A 32252-2022 tillsynsbegäran.docx", "A 32252-2022")</f>
        <v/>
      </c>
      <c r="AC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46223</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s="2" t="inlineStr">
        <is>
          <t>Tjockskalig målarmussla
Vanlig groda</t>
        </is>
      </c>
      <c r="V21">
        <f>HYPERLINK("https://klasma.github.io/Logging_0461/artfynd/A 29758-2022 artfynd.xlsx", "A 29758-2022")</f>
        <v/>
      </c>
      <c r="W21">
        <f>HYPERLINK("https://klasma.github.io/Logging_0461/kartor/A 29758-2022 karta.png", "A 29758-2022")</f>
        <v/>
      </c>
      <c r="X21">
        <f>HYPERLINK("https://klasma.github.io/Logging_0461/kartor_geotiff/A 29758-2022 georefererad karta.tif", "A 29758-2022")</f>
        <v/>
      </c>
      <c r="Z21">
        <f>HYPERLINK("https://klasma.github.io/Logging_0461/klagomål/A 29758-2022 FSC-klagomål.docx", "A 29758-2022")</f>
        <v/>
      </c>
      <c r="AA21">
        <f>HYPERLINK("https://klasma.github.io/Logging_0461/klagomålsmail/A 29758-2022 FSC-klagomål mail.docx", "A 29758-2022")</f>
        <v/>
      </c>
      <c r="AB21">
        <f>HYPERLINK("https://klasma.github.io/Logging_0461/tillsyn/A 29758-2022 tillsynsbegäran.docx", "A 29758-2022")</f>
        <v/>
      </c>
      <c r="AC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46223</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s="2" t="inlineStr">
        <is>
          <t>Tibast
Revlummer</t>
        </is>
      </c>
      <c r="V22">
        <f>HYPERLINK("https://klasma.github.io/Logging_0461/artfynd/A 51217-2024 artfynd.xlsx", "A 51217-2024")</f>
        <v/>
      </c>
      <c r="W22">
        <f>HYPERLINK("https://klasma.github.io/Logging_0461/kartor/A 51217-2024 karta.png", "A 51217-2024")</f>
        <v/>
      </c>
      <c r="X22">
        <f>HYPERLINK("https://klasma.github.io/Logging_0461/kartor_geotiff/A 51217-2024 georefererad karta.tif", "A 51217-2024")</f>
        <v/>
      </c>
      <c r="Z22">
        <f>HYPERLINK("https://klasma.github.io/Logging_0461/klagomål/A 51217-2024 FSC-klagomål.docx", "A 51217-2024")</f>
        <v/>
      </c>
      <c r="AA22">
        <f>HYPERLINK("https://klasma.github.io/Logging_0461/klagomålsmail/A 51217-2024 FSC-klagomål mail.docx", "A 51217-2024")</f>
        <v/>
      </c>
      <c r="AB22">
        <f>HYPERLINK("https://klasma.github.io/Logging_0461/tillsyn/A 51217-2024 tillsynsbegäran.docx", "A 51217-2024")</f>
        <v/>
      </c>
      <c r="AC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46223</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s="2" t="inlineStr">
        <is>
          <t>Vedtrappmossa
Svavelriska</t>
        </is>
      </c>
      <c r="V23">
        <f>HYPERLINK("https://klasma.github.io/Logging_0461/artfynd/A 56791-2022 artfynd.xlsx", "A 56791-2022")</f>
        <v/>
      </c>
      <c r="W23">
        <f>HYPERLINK("https://klasma.github.io/Logging_0461/kartor/A 56791-2022 karta.png", "A 56791-2022")</f>
        <v/>
      </c>
      <c r="X23">
        <f>HYPERLINK("https://klasma.github.io/Logging_0461/kartor_geotiff/A 56791-2022 georefererad karta.tif", "A 56791-2022")</f>
        <v/>
      </c>
      <c r="Z23">
        <f>HYPERLINK("https://klasma.github.io/Logging_0461/klagomål/A 56791-2022 FSC-klagomål.docx", "A 56791-2022")</f>
        <v/>
      </c>
      <c r="AA23">
        <f>HYPERLINK("https://klasma.github.io/Logging_0461/klagomålsmail/A 56791-2022 FSC-klagomål mail.docx", "A 56791-2022")</f>
        <v/>
      </c>
      <c r="AB23">
        <f>HYPERLINK("https://klasma.github.io/Logging_0461/tillsyn/A 56791-2022 tillsynsbegäran.docx", "A 56791-2022")</f>
        <v/>
      </c>
      <c r="AC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46223</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s="2" t="inlineStr">
        <is>
          <t>Dvärgbägarlav
Björksplintborre</t>
        </is>
      </c>
      <c r="V24">
        <f>HYPERLINK("https://klasma.github.io/Logging_0461/artfynd/A 54140-2025 artfynd.xlsx", "A 54140-2025")</f>
        <v/>
      </c>
      <c r="W24">
        <f>HYPERLINK("https://klasma.github.io/Logging_0461/kartor/A 54140-2025 karta.png", "A 54140-2025")</f>
        <v/>
      </c>
      <c r="X24">
        <f>HYPERLINK("https://klasma.github.io/Logging_0461/kartor_geotiff/A 54140-2025 georefererad karta.tif", "A 54140-2025")</f>
        <v/>
      </c>
      <c r="Z24">
        <f>HYPERLINK("https://klasma.github.io/Logging_0461/klagomål/A 54140-2025 FSC-klagomål.docx", "A 54140-2025")</f>
        <v/>
      </c>
      <c r="AA24">
        <f>HYPERLINK("https://klasma.github.io/Logging_0461/klagomålsmail/A 54140-2025 FSC-klagomål mail.docx", "A 54140-2025")</f>
        <v/>
      </c>
      <c r="AB24">
        <f>HYPERLINK("https://klasma.github.io/Logging_0461/tillsyn/A 54140-2025 tillsynsbegäran.docx", "A 54140-2025")</f>
        <v/>
      </c>
      <c r="AC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46223</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s="2" t="inlineStr">
        <is>
          <t>Blåsippa
Gullviva</t>
        </is>
      </c>
      <c r="V25">
        <f>HYPERLINK("https://klasma.github.io/Logging_0461/artfynd/A 59407-2025 artfynd.xlsx", "A 59407-2025")</f>
        <v/>
      </c>
      <c r="W25">
        <f>HYPERLINK("https://klasma.github.io/Logging_0461/kartor/A 59407-2025 karta.png", "A 59407-2025")</f>
        <v/>
      </c>
      <c r="X25">
        <f>HYPERLINK("https://klasma.github.io/Logging_0461/kartor_geotiff/A 59407-2025 georefererad karta.tif", "A 59407-2025")</f>
        <v/>
      </c>
      <c r="Z25">
        <f>HYPERLINK("https://klasma.github.io/Logging_0461/klagomål/A 59407-2025 FSC-klagomål.docx", "A 59407-2025")</f>
        <v/>
      </c>
      <c r="AA25">
        <f>HYPERLINK("https://klasma.github.io/Logging_0461/klagomålsmail/A 59407-2025 FSC-klagomål mail.docx", "A 59407-2025")</f>
        <v/>
      </c>
      <c r="AB25">
        <f>HYPERLINK("https://klasma.github.io/Logging_0461/tillsyn/A 59407-2025 tillsynsbegäran.docx", "A 59407-2025")</f>
        <v/>
      </c>
      <c r="AC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46223</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s="2" t="inlineStr">
        <is>
          <t>Streckvaxskivling
Bergjohannesört</t>
        </is>
      </c>
      <c r="V26">
        <f>HYPERLINK("https://klasma.github.io/Logging_0461/artfynd/A 49442-2022 artfynd.xlsx", "A 49442-2022")</f>
        <v/>
      </c>
      <c r="W26">
        <f>HYPERLINK("https://klasma.github.io/Logging_0461/kartor/A 49442-2022 karta.png", "A 49442-2022")</f>
        <v/>
      </c>
      <c r="X26">
        <f>HYPERLINK("https://klasma.github.io/Logging_0461/kartor_geotiff/A 49442-2022 georefererad karta.tif", "A 49442-2022")</f>
        <v/>
      </c>
      <c r="Z26">
        <f>HYPERLINK("https://klasma.github.io/Logging_0461/klagomål/A 49442-2022 FSC-klagomål.docx", "A 49442-2022")</f>
        <v/>
      </c>
      <c r="AA26">
        <f>HYPERLINK("https://klasma.github.io/Logging_0461/klagomålsmail/A 49442-2022 FSC-klagomål mail.docx", "A 49442-2022")</f>
        <v/>
      </c>
      <c r="AB26">
        <f>HYPERLINK("https://klasma.github.io/Logging_0461/tillsyn/A 49442-2022 tillsynsbegäran.docx", "A 49442-2022")</f>
        <v/>
      </c>
      <c r="AC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46223</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s="2" t="inlineStr">
        <is>
          <t>Bredbrämad bastardsvärmare</t>
        </is>
      </c>
      <c r="V27">
        <f>HYPERLINK("https://klasma.github.io/Logging_0461/artfynd/A 44782-2022 artfynd.xlsx", "A 44782-2022")</f>
        <v/>
      </c>
      <c r="W27">
        <f>HYPERLINK("https://klasma.github.io/Logging_0461/kartor/A 44782-2022 karta.png", "A 44782-2022")</f>
        <v/>
      </c>
      <c r="X27">
        <f>HYPERLINK("https://klasma.github.io/Logging_0461/kartor_geotiff/A 44782-2022 georefererad karta.tif", "A 44782-2022")</f>
        <v/>
      </c>
      <c r="Z27">
        <f>HYPERLINK("https://klasma.github.io/Logging_0461/klagomål/A 44782-2022 FSC-klagomål.docx", "A 44782-2022")</f>
        <v/>
      </c>
      <c r="AA27">
        <f>HYPERLINK("https://klasma.github.io/Logging_0461/klagomålsmail/A 44782-2022 FSC-klagomål mail.docx", "A 44782-2022")</f>
        <v/>
      </c>
      <c r="AB27">
        <f>HYPERLINK("https://klasma.github.io/Logging_0461/tillsyn/A 44782-2022 tillsynsbegäran.docx", "A 44782-2022")</f>
        <v/>
      </c>
      <c r="AC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46223</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s="2" t="inlineStr">
        <is>
          <t>Sotlav</t>
        </is>
      </c>
      <c r="V28">
        <f>HYPERLINK("https://klasma.github.io/Logging_0461/artfynd/A 42227-2022 artfynd.xlsx", "A 42227-2022")</f>
        <v/>
      </c>
      <c r="W28">
        <f>HYPERLINK("https://klasma.github.io/Logging_0461/kartor/A 42227-2022 karta.png", "A 42227-2022")</f>
        <v/>
      </c>
      <c r="X28">
        <f>HYPERLINK("https://klasma.github.io/Logging_0461/kartor_geotiff/A 42227-2022 georefererad karta.tif", "A 42227-2022")</f>
        <v/>
      </c>
      <c r="Z28">
        <f>HYPERLINK("https://klasma.github.io/Logging_0461/klagomål/A 42227-2022 FSC-klagomål.docx", "A 42227-2022")</f>
        <v/>
      </c>
      <c r="AA28">
        <f>HYPERLINK("https://klasma.github.io/Logging_0461/klagomålsmail/A 42227-2022 FSC-klagomål mail.docx", "A 42227-2022")</f>
        <v/>
      </c>
      <c r="AB28">
        <f>HYPERLINK("https://klasma.github.io/Logging_0461/tillsyn/A 42227-2022 tillsynsbegäran.docx", "A 42227-2022")</f>
        <v/>
      </c>
      <c r="AC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46223</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s="2" t="inlineStr">
        <is>
          <t>Järnsparv</t>
        </is>
      </c>
      <c r="V29">
        <f>HYPERLINK("https://klasma.github.io/Logging_0461/artfynd/A 9134-2024 artfynd.xlsx", "A 9134-2024")</f>
        <v/>
      </c>
      <c r="W29">
        <f>HYPERLINK("https://klasma.github.io/Logging_0461/kartor/A 9134-2024 karta.png", "A 9134-2024")</f>
        <v/>
      </c>
      <c r="X29">
        <f>HYPERLINK("https://klasma.github.io/Logging_0461/kartor_geotiff/A 9134-2024 georefererad karta.tif", "A 9134-2024")</f>
        <v/>
      </c>
      <c r="Z29">
        <f>HYPERLINK("https://klasma.github.io/Logging_0461/klagomål/A 9134-2024 FSC-klagomål.docx", "A 9134-2024")</f>
        <v/>
      </c>
      <c r="AA29">
        <f>HYPERLINK("https://klasma.github.io/Logging_0461/klagomålsmail/A 9134-2024 FSC-klagomål mail.docx", "A 9134-2024")</f>
        <v/>
      </c>
      <c r="AB29">
        <f>HYPERLINK("https://klasma.github.io/Logging_0461/tillsyn/A 9134-2024 tillsynsbegäran.docx", "A 9134-2024")</f>
        <v/>
      </c>
      <c r="AC29">
        <f>HYPERLINK("https://klasma.github.io/Logging_0461/tillsynsmail/A 9134-2024 tillsynsbegäran mail.docx", "A 9134-2024")</f>
        <v/>
      </c>
      <c r="AD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46223</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s="2" t="inlineStr">
        <is>
          <t>Mattlummer</t>
        </is>
      </c>
      <c r="V30">
        <f>HYPERLINK("https://klasma.github.io/Logging_0461/artfynd/A 33825-2022 artfynd.xlsx", "A 33825-2022")</f>
        <v/>
      </c>
      <c r="W30">
        <f>HYPERLINK("https://klasma.github.io/Logging_0461/kartor/A 33825-2022 karta.png", "A 33825-2022")</f>
        <v/>
      </c>
      <c r="X30">
        <f>HYPERLINK("https://klasma.github.io/Logging_0461/kartor_geotiff/A 33825-2022 georefererad karta.tif", "A 33825-2022")</f>
        <v/>
      </c>
      <c r="Z30">
        <f>HYPERLINK("https://klasma.github.io/Logging_0461/klagomål/A 33825-2022 FSC-klagomål.docx", "A 33825-2022")</f>
        <v/>
      </c>
      <c r="AA30">
        <f>HYPERLINK("https://klasma.github.io/Logging_0461/klagomålsmail/A 33825-2022 FSC-klagomål mail.docx", "A 33825-2022")</f>
        <v/>
      </c>
      <c r="AB30">
        <f>HYPERLINK("https://klasma.github.io/Logging_0461/tillsyn/A 33825-2022 tillsynsbegäran.docx", "A 33825-2022")</f>
        <v/>
      </c>
      <c r="AC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46223</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s="2" t="inlineStr">
        <is>
          <t>Zontaggsvamp</t>
        </is>
      </c>
      <c r="V31">
        <f>HYPERLINK("https://klasma.github.io/Logging_0461/artfynd/A 9303-2023 artfynd.xlsx", "A 9303-2023")</f>
        <v/>
      </c>
      <c r="W31">
        <f>HYPERLINK("https://klasma.github.io/Logging_0461/kartor/A 9303-2023 karta.png", "A 9303-2023")</f>
        <v/>
      </c>
      <c r="X31">
        <f>HYPERLINK("https://klasma.github.io/Logging_0461/kartor_geotiff/A 9303-2023 georefererad karta.tif", "A 9303-2023")</f>
        <v/>
      </c>
      <c r="Z31">
        <f>HYPERLINK("https://klasma.github.io/Logging_0461/klagomål/A 9303-2023 FSC-klagomål.docx", "A 9303-2023")</f>
        <v/>
      </c>
      <c r="AA31">
        <f>HYPERLINK("https://klasma.github.io/Logging_0461/klagomålsmail/A 9303-2023 FSC-klagomål mail.docx", "A 9303-2023")</f>
        <v/>
      </c>
      <c r="AB31">
        <f>HYPERLINK("https://klasma.github.io/Logging_0461/tillsyn/A 9303-2023 tillsynsbegäran.docx", "A 9303-2023")</f>
        <v/>
      </c>
      <c r="AC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46223</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s="2" t="inlineStr">
        <is>
          <t>Fläcknycklar</t>
        </is>
      </c>
      <c r="V32">
        <f>HYPERLINK("https://klasma.github.io/Logging_0461/artfynd/A 2012-2022 artfynd.xlsx", "A 2012-2022")</f>
        <v/>
      </c>
      <c r="W32">
        <f>HYPERLINK("https://klasma.github.io/Logging_0461/kartor/A 2012-2022 karta.png", "A 2012-2022")</f>
        <v/>
      </c>
      <c r="X32">
        <f>HYPERLINK("https://klasma.github.io/Logging_0461/kartor_geotiff/A 2012-2022 georefererad karta.tif", "A 2012-2022")</f>
        <v/>
      </c>
      <c r="Z32">
        <f>HYPERLINK("https://klasma.github.io/Logging_0461/klagomål/A 2012-2022 FSC-klagomål.docx", "A 2012-2022")</f>
        <v/>
      </c>
      <c r="AA32">
        <f>HYPERLINK("https://klasma.github.io/Logging_0461/klagomålsmail/A 2012-2022 FSC-klagomål mail.docx", "A 2012-2022")</f>
        <v/>
      </c>
      <c r="AB32">
        <f>HYPERLINK("https://klasma.github.io/Logging_0461/tillsyn/A 2012-2022 tillsynsbegäran.docx", "A 2012-2022")</f>
        <v/>
      </c>
      <c r="AC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46223</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s="2" t="inlineStr">
        <is>
          <t>Blåsippa</t>
        </is>
      </c>
      <c r="V33">
        <f>HYPERLINK("https://klasma.github.io/Logging_0461/artfynd/A 7741-2023 artfynd.xlsx", "A 7741-2023")</f>
        <v/>
      </c>
      <c r="W33">
        <f>HYPERLINK("https://klasma.github.io/Logging_0461/kartor/A 7741-2023 karta.png", "A 7741-2023")</f>
        <v/>
      </c>
      <c r="X33">
        <f>HYPERLINK("https://klasma.github.io/Logging_0461/kartor_geotiff/A 7741-2023 georefererad karta.tif", "A 7741-2023")</f>
        <v/>
      </c>
      <c r="Z33">
        <f>HYPERLINK("https://klasma.github.io/Logging_0461/klagomål/A 7741-2023 FSC-klagomål.docx", "A 7741-2023")</f>
        <v/>
      </c>
      <c r="AA33">
        <f>HYPERLINK("https://klasma.github.io/Logging_0461/klagomålsmail/A 7741-2023 FSC-klagomål mail.docx", "A 7741-2023")</f>
        <v/>
      </c>
      <c r="AB33">
        <f>HYPERLINK("https://klasma.github.io/Logging_0461/tillsyn/A 7741-2023 tillsynsbegäran.docx", "A 7741-2023")</f>
        <v/>
      </c>
      <c r="AC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46223</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s="2" t="inlineStr">
        <is>
          <t>Svinrot</t>
        </is>
      </c>
      <c r="V34">
        <f>HYPERLINK("https://klasma.github.io/Logging_0461/artfynd/A 6395-2023 artfynd.xlsx", "A 6395-2023")</f>
        <v/>
      </c>
      <c r="W34">
        <f>HYPERLINK("https://klasma.github.io/Logging_0461/kartor/A 6395-2023 karta.png", "A 6395-2023")</f>
        <v/>
      </c>
      <c r="X34">
        <f>HYPERLINK("https://klasma.github.io/Logging_0461/kartor_geotiff/A 6395-2023 georefererad karta.tif", "A 6395-2023")</f>
        <v/>
      </c>
      <c r="Z34">
        <f>HYPERLINK("https://klasma.github.io/Logging_0461/klagomål/A 6395-2023 FSC-klagomål.docx", "A 6395-2023")</f>
        <v/>
      </c>
      <c r="AA34">
        <f>HYPERLINK("https://klasma.github.io/Logging_0461/klagomålsmail/A 6395-2023 FSC-klagomål mail.docx", "A 6395-2023")</f>
        <v/>
      </c>
      <c r="AB34">
        <f>HYPERLINK("https://klasma.github.io/Logging_0461/tillsyn/A 6395-2023 tillsynsbegäran.docx", "A 6395-2023")</f>
        <v/>
      </c>
      <c r="AC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46223</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s="2" t="inlineStr">
        <is>
          <t>Jungfrulin</t>
        </is>
      </c>
      <c r="V35">
        <f>HYPERLINK("https://klasma.github.io/Logging_0461/artfynd/A 7794-2023 artfynd.xlsx", "A 7794-2023")</f>
        <v/>
      </c>
      <c r="W35">
        <f>HYPERLINK("https://klasma.github.io/Logging_0461/kartor/A 7794-2023 karta.png", "A 7794-2023")</f>
        <v/>
      </c>
      <c r="X35">
        <f>HYPERLINK("https://klasma.github.io/Logging_0461/kartor_geotiff/A 7794-2023 georefererad karta.tif", "A 7794-2023")</f>
        <v/>
      </c>
      <c r="Z35">
        <f>HYPERLINK("https://klasma.github.io/Logging_0461/klagomål/A 7794-2023 FSC-klagomål.docx", "A 7794-2023")</f>
        <v/>
      </c>
      <c r="AA35">
        <f>HYPERLINK("https://klasma.github.io/Logging_0461/klagomålsmail/A 7794-2023 FSC-klagomål mail.docx", "A 7794-2023")</f>
        <v/>
      </c>
      <c r="AB35">
        <f>HYPERLINK("https://klasma.github.io/Logging_0461/tillsyn/A 7794-2023 tillsynsbegäran.docx", "A 7794-2023")</f>
        <v/>
      </c>
      <c r="AC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46223</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s="2" t="inlineStr">
        <is>
          <t>Gullklöver</t>
        </is>
      </c>
      <c r="V36">
        <f>HYPERLINK("https://klasma.github.io/Logging_0461/artfynd/A 7681-2023 artfynd.xlsx", "A 7681-2023")</f>
        <v/>
      </c>
      <c r="W36">
        <f>HYPERLINK("https://klasma.github.io/Logging_0461/kartor/A 7681-2023 karta.png", "A 7681-2023")</f>
        <v/>
      </c>
      <c r="X36">
        <f>HYPERLINK("https://klasma.github.io/Logging_0461/kartor_geotiff/A 7681-2023 georefererad karta.tif", "A 7681-2023")</f>
        <v/>
      </c>
      <c r="Z36">
        <f>HYPERLINK("https://klasma.github.io/Logging_0461/klagomål/A 7681-2023 FSC-klagomål.docx", "A 7681-2023")</f>
        <v/>
      </c>
      <c r="AA36">
        <f>HYPERLINK("https://klasma.github.io/Logging_0461/klagomålsmail/A 7681-2023 FSC-klagomål mail.docx", "A 7681-2023")</f>
        <v/>
      </c>
      <c r="AB36">
        <f>HYPERLINK("https://klasma.github.io/Logging_0461/tillsyn/A 7681-2023 tillsynsbegäran.docx", "A 7681-2023")</f>
        <v/>
      </c>
      <c r="AC36">
        <f>HYPERLINK("https://klasma.github.io/Logging_0461/tillsynsmail/A 7681-2023 tillsynsbegäran mail.docx", "A 7681-2023")</f>
        <v/>
      </c>
    </row>
    <row r="37" ht="15" customHeight="1">
      <c r="A37" t="inlineStr">
        <is>
          <t>A 50242-2025</t>
        </is>
      </c>
      <c r="B37" t="inlineStr">
        <is>
          <t>avverkningsanmälan</t>
        </is>
      </c>
      <c r="C37" t="inlineStr">
        <is>
          <t>Föryngringsavverkning</t>
        </is>
      </c>
      <c r="D37" s="1" t="n">
        <v>45943</v>
      </c>
      <c r="E37" s="1" t="n">
        <v>46223</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s="2" t="inlineStr">
        <is>
          <t>Skogshare</t>
        </is>
      </c>
      <c r="V37">
        <f>HYPERLINK("https://klasma.github.io/Logging_0461/artfynd/A 50242-2025 artfynd.xlsx", "A 50242-2025")</f>
        <v/>
      </c>
      <c r="W37">
        <f>HYPERLINK("https://klasma.github.io/Logging_0461/kartor/A 50242-2025 karta.png", "A 50242-2025")</f>
        <v/>
      </c>
      <c r="X37">
        <f>HYPERLINK("https://klasma.github.io/Logging_0461/kartor_geotiff/A 50242-2025 georefererad karta.tif", "A 50242-2025")</f>
        <v/>
      </c>
      <c r="Z37">
        <f>HYPERLINK("https://klasma.github.io/Logging_0461/klagomål/A 50242-2025 FSC-klagomål.docx", "A 50242-2025")</f>
        <v/>
      </c>
      <c r="AA37">
        <f>HYPERLINK("https://klasma.github.io/Logging_0461/klagomålsmail/A 50242-2025 FSC-klagomål mail.docx", "A 50242-2025")</f>
        <v/>
      </c>
      <c r="AB37">
        <f>HYPERLINK("https://klasma.github.io/Logging_0461/tillsyn/A 50242-2025 tillsynsbegäran.docx", "A 50242-2025")</f>
        <v/>
      </c>
      <c r="AC37">
        <f>HYPERLINK("https://klasma.github.io/Logging_0461/tillsynsmail/A 50242-2025 tillsynsbegäran mail.docx", "A 50242-2025")</f>
        <v/>
      </c>
    </row>
    <row r="38" ht="15" customHeight="1">
      <c r="A38" t="inlineStr">
        <is>
          <t>A 43246-2024</t>
        </is>
      </c>
      <c r="B38" t="inlineStr">
        <is>
          <t>avverkningsanmälan</t>
        </is>
      </c>
      <c r="C38" t="inlineStr">
        <is>
          <t>Föryngringsavverkning</t>
        </is>
      </c>
      <c r="D38" s="1" t="n">
        <v>45568</v>
      </c>
      <c r="E38" s="1" t="n">
        <v>46223</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s="2" t="inlineStr">
        <is>
          <t>Motaggsvamp</t>
        </is>
      </c>
      <c r="V38">
        <f>HYPERLINK("https://klasma.github.io/Logging_0461/artfynd/A 43246-2024 artfynd.xlsx", "A 43246-2024")</f>
        <v/>
      </c>
      <c r="W38">
        <f>HYPERLINK("https://klasma.github.io/Logging_0461/kartor/A 43246-2024 karta.png", "A 43246-2024")</f>
        <v/>
      </c>
      <c r="X38">
        <f>HYPERLINK("https://klasma.github.io/Logging_0461/kartor_geotiff/A 43246-2024 georefererad karta.tif", "A 43246-2024")</f>
        <v/>
      </c>
      <c r="Z38">
        <f>HYPERLINK("https://klasma.github.io/Logging_0461/klagomål/A 43246-2024 FSC-klagomål.docx", "A 43246-2024")</f>
        <v/>
      </c>
      <c r="AA38">
        <f>HYPERLINK("https://klasma.github.io/Logging_0461/klagomålsmail/A 43246-2024 FSC-klagomål mail.docx", "A 43246-2024")</f>
        <v/>
      </c>
      <c r="AB38">
        <f>HYPERLINK("https://klasma.github.io/Logging_0461/tillsyn/A 43246-2024 tillsynsbegäran.docx", "A 43246-2024")</f>
        <v/>
      </c>
      <c r="AC38">
        <f>HYPERLINK("https://klasma.github.io/Logging_0461/tillsynsmail/A 43246-2024 tillsynsbegäran mail.docx", "A 43246-2024")</f>
        <v/>
      </c>
    </row>
    <row r="39" ht="15" customHeight="1">
      <c r="A39" t="inlineStr">
        <is>
          <t>A 62007-2022</t>
        </is>
      </c>
      <c r="B39" t="inlineStr">
        <is>
          <t>avverkningsanmälan</t>
        </is>
      </c>
      <c r="C39" t="inlineStr">
        <is>
          <t>Föryngringsavverkning</t>
        </is>
      </c>
      <c r="D39" s="1" t="n">
        <v>44918</v>
      </c>
      <c r="E39" s="1" t="n">
        <v>46223</v>
      </c>
      <c r="F39" t="inlineStr">
        <is>
          <t>SÖDERMANLANDS LÄN</t>
        </is>
      </c>
      <c r="G39" t="inlineStr">
        <is>
          <t>GNESTA</t>
        </is>
      </c>
      <c r="H39" t="inlineStr">
        <is>
          <t>Kommuner</t>
        </is>
      </c>
      <c r="I39" t="n">
        <v>0.6</v>
      </c>
      <c r="J39" t="n">
        <v>0</v>
      </c>
      <c r="K39" t="n">
        <v>0</v>
      </c>
      <c r="L39" t="n">
        <v>1</v>
      </c>
      <c r="M39" t="n">
        <v>0</v>
      </c>
      <c r="N39" t="n">
        <v>0</v>
      </c>
      <c r="O39" t="n">
        <v>0</v>
      </c>
      <c r="P39" t="n">
        <v>0</v>
      </c>
      <c r="Q39" t="n">
        <v>1</v>
      </c>
      <c r="R39" t="n">
        <v>0</v>
      </c>
      <c r="S39" t="n">
        <v>1</v>
      </c>
      <c r="T39" t="n">
        <v>1</v>
      </c>
      <c r="U39" s="2" t="inlineStr">
        <is>
          <t>Orange taggsvamp</t>
        </is>
      </c>
      <c r="V39">
        <f>HYPERLINK("https://klasma.github.io/Logging_0461/artfynd/A 62007-2022 artfynd.xlsx", "A 62007-2022")</f>
        <v/>
      </c>
      <c r="W39">
        <f>HYPERLINK("https://klasma.github.io/Logging_0461/kartor/A 62007-2022 karta.png", "A 62007-2022")</f>
        <v/>
      </c>
      <c r="X39">
        <f>HYPERLINK("https://klasma.github.io/Logging_0461/kartor_geotiff/A 62007-2022 georefererad karta.tif", "A 62007-2022")</f>
        <v/>
      </c>
      <c r="Z39">
        <f>HYPERLINK("https://klasma.github.io/Logging_0461/klagomål/A 62007-2022 FSC-klagomål.docx", "A 62007-2022")</f>
        <v/>
      </c>
      <c r="AA39">
        <f>HYPERLINK("https://klasma.github.io/Logging_0461/klagomålsmail/A 62007-2022 FSC-klagomål mail.docx", "A 62007-2022")</f>
        <v/>
      </c>
      <c r="AB39">
        <f>HYPERLINK("https://klasma.github.io/Logging_0461/tillsyn/A 62007-2022 tillsynsbegäran.docx", "A 62007-2022")</f>
        <v/>
      </c>
      <c r="AC39">
        <f>HYPERLINK("https://klasma.github.io/Logging_0461/tillsynsmail/A 62007-2022 tillsynsbegäran mail.docx", "A 62007-2022")</f>
        <v/>
      </c>
    </row>
    <row r="40" ht="15" customHeight="1">
      <c r="A40" t="inlineStr">
        <is>
          <t>A 65082-2023</t>
        </is>
      </c>
      <c r="B40" t="inlineStr">
        <is>
          <t>avverkningsanmälan</t>
        </is>
      </c>
      <c r="C40" t="inlineStr">
        <is>
          <t>Föryngringsavverkning</t>
        </is>
      </c>
      <c r="D40" s="1" t="n">
        <v>45288</v>
      </c>
      <c r="E40" s="1" t="n">
        <v>46223</v>
      </c>
      <c r="F40" t="inlineStr">
        <is>
          <t>SÖDERMANLANDS LÄN</t>
        </is>
      </c>
      <c r="G40" t="inlineStr">
        <is>
          <t>GNESTA</t>
        </is>
      </c>
      <c r="I40" t="n">
        <v>1.9</v>
      </c>
      <c r="J40" t="n">
        <v>0</v>
      </c>
      <c r="K40" t="n">
        <v>0</v>
      </c>
      <c r="L40" t="n">
        <v>1</v>
      </c>
      <c r="M40" t="n">
        <v>0</v>
      </c>
      <c r="N40" t="n">
        <v>0</v>
      </c>
      <c r="O40" t="n">
        <v>0</v>
      </c>
      <c r="P40" t="n">
        <v>0</v>
      </c>
      <c r="Q40" t="n">
        <v>1</v>
      </c>
      <c r="R40" t="n">
        <v>0</v>
      </c>
      <c r="S40" t="n">
        <v>1</v>
      </c>
      <c r="T40" t="n">
        <v>3</v>
      </c>
      <c r="U40" s="2" t="inlineStr">
        <is>
          <t>Svedjenäva</t>
        </is>
      </c>
      <c r="V40">
        <f>HYPERLINK("https://klasma.github.io/Logging_0461/artfynd/A 65082-2023 artfynd.xlsx", "A 65082-2023")</f>
        <v/>
      </c>
      <c r="W40">
        <f>HYPERLINK("https://klasma.github.io/Logging_0461/kartor/A 65082-2023 karta.png", "A 65082-2023")</f>
        <v/>
      </c>
      <c r="X40">
        <f>HYPERLINK("https://klasma.github.io/Logging_0461/kartor_geotiff/A 65082-2023 georefererad karta.tif", "A 65082-2023")</f>
        <v/>
      </c>
      <c r="Z40">
        <f>HYPERLINK("https://klasma.github.io/Logging_0461/klagomål/A 65082-2023 FSC-klagomål.docx", "A 65082-2023")</f>
        <v/>
      </c>
      <c r="AA40">
        <f>HYPERLINK("https://klasma.github.io/Logging_0461/klagomålsmail/A 65082-2023 FSC-klagomål mail.docx", "A 65082-2023")</f>
        <v/>
      </c>
      <c r="AB40">
        <f>HYPERLINK("https://klasma.github.io/Logging_0461/tillsyn/A 65082-2023 tillsynsbegäran.docx", "A 65082-2023")</f>
        <v/>
      </c>
      <c r="AC40">
        <f>HYPERLINK("https://klasma.github.io/Logging_0461/tillsynsmail/A 65082-2023 tillsynsbegäran mail.docx", "A 65082-2023")</f>
        <v/>
      </c>
    </row>
    <row r="41" ht="15" customHeight="1">
      <c r="A41" t="inlineStr">
        <is>
          <t>A 16691-2026</t>
        </is>
      </c>
      <c r="B41" t="inlineStr">
        <is>
          <t>avverkningsanmälan</t>
        </is>
      </c>
      <c r="C41" t="inlineStr">
        <is>
          <t>Föryngringsavverkning</t>
        </is>
      </c>
      <c r="D41" s="1" t="n">
        <v>46112</v>
      </c>
      <c r="E41" s="1" t="n">
        <v>46223</v>
      </c>
      <c r="F41" t="inlineStr">
        <is>
          <t>SÖDERMANLANDS LÄN</t>
        </is>
      </c>
      <c r="G41" t="inlineStr">
        <is>
          <t>GNESTA</t>
        </is>
      </c>
      <c r="I41" t="n">
        <v>1.4</v>
      </c>
      <c r="J41" t="n">
        <v>0</v>
      </c>
      <c r="K41" t="n">
        <v>0</v>
      </c>
      <c r="L41" t="n">
        <v>1</v>
      </c>
      <c r="M41" t="n">
        <v>0</v>
      </c>
      <c r="N41" t="n">
        <v>0</v>
      </c>
      <c r="O41" t="n">
        <v>0</v>
      </c>
      <c r="P41" t="n">
        <v>0</v>
      </c>
      <c r="Q41" t="n">
        <v>1</v>
      </c>
      <c r="R41" t="n">
        <v>0</v>
      </c>
      <c r="S41" t="n">
        <v>1</v>
      </c>
      <c r="T41" t="n">
        <v>2</v>
      </c>
      <c r="U41" s="2" t="inlineStr">
        <is>
          <t>Tallticka</t>
        </is>
      </c>
      <c r="V41">
        <f>HYPERLINK("https://klasma.github.io/Logging_0461/artfynd/A 16691-2026 artfynd.xlsx", "A 16691-2026")</f>
        <v/>
      </c>
      <c r="W41">
        <f>HYPERLINK("https://klasma.github.io/Logging_0461/kartor/A 16691-2026 karta.png", "A 16691-2026")</f>
        <v/>
      </c>
      <c r="X41">
        <f>HYPERLINK("https://klasma.github.io/Logging_0461/kartor_geotiff/A 16691-2026 georefererad karta.tif", "A 16691-2026")</f>
        <v/>
      </c>
      <c r="Z41">
        <f>HYPERLINK("https://klasma.github.io/Logging_0461/klagomål/A 16691-2026 FSC-klagomål.docx", "A 16691-2026")</f>
        <v/>
      </c>
      <c r="AA41">
        <f>HYPERLINK("https://klasma.github.io/Logging_0461/klagomålsmail/A 16691-2026 FSC-klagomål mail.docx", "A 16691-2026")</f>
        <v/>
      </c>
      <c r="AB41">
        <f>HYPERLINK("https://klasma.github.io/Logging_0461/tillsyn/A 16691-2026 tillsynsbegäran.docx", "A 16691-2026")</f>
        <v/>
      </c>
      <c r="AC41">
        <f>HYPERLINK("https://klasma.github.io/Logging_0461/tillsynsmail/A 16691-2026 tillsynsbegäran mail.docx", "A 16691-2026")</f>
        <v/>
      </c>
    </row>
    <row r="42" ht="15" customHeight="1">
      <c r="A42" t="inlineStr">
        <is>
          <t>A 38379-2024</t>
        </is>
      </c>
      <c r="B42" t="inlineStr">
        <is>
          <t>avverkningsanmälan</t>
        </is>
      </c>
      <c r="C42" t="inlineStr">
        <is>
          <t>Avverkning för annat ändamål</t>
        </is>
      </c>
      <c r="D42" s="1" t="n">
        <v>45546</v>
      </c>
      <c r="E42" s="1" t="n">
        <v>46223</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s="2" t="inlineStr">
        <is>
          <t>Gullklöver</t>
        </is>
      </c>
      <c r="V42">
        <f>HYPERLINK("https://klasma.github.io/Logging_0461/artfynd/A 38379-2024 artfynd.xlsx", "A 38379-2024")</f>
        <v/>
      </c>
      <c r="W42">
        <f>HYPERLINK("https://klasma.github.io/Logging_0461/kartor/A 38379-2024 karta.png", "A 38379-2024")</f>
        <v/>
      </c>
      <c r="X42">
        <f>HYPERLINK("https://klasma.github.io/Logging_0461/kartor_geotiff/A 38379-2024 georefererad karta.tif", "A 38379-2024")</f>
        <v/>
      </c>
      <c r="Z42">
        <f>HYPERLINK("https://klasma.github.io/Logging_0461/klagomål/A 38379-2024 FSC-klagomål.docx", "A 38379-2024")</f>
        <v/>
      </c>
      <c r="AA42">
        <f>HYPERLINK("https://klasma.github.io/Logging_0461/klagomålsmail/A 38379-2024 FSC-klagomål mail.docx", "A 38379-2024")</f>
        <v/>
      </c>
      <c r="AB42">
        <f>HYPERLINK("https://klasma.github.io/Logging_0461/tillsyn/A 38379-2024 tillsynsbegäran.docx", "A 38379-2024")</f>
        <v/>
      </c>
      <c r="AC42">
        <f>HYPERLINK("https://klasma.github.io/Logging_0461/tillsynsmail/A 38379-2024 tillsynsbegäran mail.docx", "A 38379-2024")</f>
        <v/>
      </c>
    </row>
    <row r="43" ht="15" customHeight="1">
      <c r="A43" t="inlineStr">
        <is>
          <t>A 39433-2024</t>
        </is>
      </c>
      <c r="B43" t="inlineStr">
        <is>
          <t>avverkningsanmälan</t>
        </is>
      </c>
      <c r="C43" t="inlineStr">
        <is>
          <t>Föryngringsavverkning</t>
        </is>
      </c>
      <c r="D43" s="1" t="n">
        <v>45551</v>
      </c>
      <c r="E43" s="1" t="n">
        <v>46223</v>
      </c>
      <c r="F43" t="inlineStr">
        <is>
          <t>SÖDERMANLANDS LÄN</t>
        </is>
      </c>
      <c r="G43" t="inlineStr">
        <is>
          <t>GNESTA</t>
        </is>
      </c>
      <c r="I43" t="n">
        <v>1.3</v>
      </c>
      <c r="J43" t="n">
        <v>1</v>
      </c>
      <c r="K43" t="n">
        <v>1</v>
      </c>
      <c r="L43" t="n">
        <v>0</v>
      </c>
      <c r="M43" t="n">
        <v>0</v>
      </c>
      <c r="N43" t="n">
        <v>0</v>
      </c>
      <c r="O43" t="n">
        <v>0</v>
      </c>
      <c r="P43" t="n">
        <v>0</v>
      </c>
      <c r="Q43" t="n">
        <v>0</v>
      </c>
      <c r="R43" t="n">
        <v>0</v>
      </c>
      <c r="S43" t="n">
        <v>1</v>
      </c>
      <c r="T43" t="n">
        <v>1</v>
      </c>
      <c r="U43" s="2" t="inlineStr">
        <is>
          <t>Grön sköldmossa</t>
        </is>
      </c>
      <c r="V43">
        <f>HYPERLINK("https://klasma.github.io/Logging_0461/artfynd/A 39433-2024 artfynd.xlsx", "A 39433-2024")</f>
        <v/>
      </c>
      <c r="W43">
        <f>HYPERLINK("https://klasma.github.io/Logging_0461/kartor/A 39433-2024 karta.png", "A 39433-2024")</f>
        <v/>
      </c>
      <c r="X43">
        <f>HYPERLINK("https://klasma.github.io/Logging_0461/kartor_geotiff/A 39433-2024 georefererad karta.tif", "A 39433-2024")</f>
        <v/>
      </c>
      <c r="Z43">
        <f>HYPERLINK("https://klasma.github.io/Logging_0461/klagomål/A 39433-2024 FSC-klagomål.docx", "A 39433-2024")</f>
        <v/>
      </c>
      <c r="AA43">
        <f>HYPERLINK("https://klasma.github.io/Logging_0461/klagomålsmail/A 39433-2024 FSC-klagomål mail.docx", "A 39433-2024")</f>
        <v/>
      </c>
      <c r="AB43">
        <f>HYPERLINK("https://klasma.github.io/Logging_0461/tillsyn/A 39433-2024 tillsynsbegäran.docx", "A 39433-2024")</f>
        <v/>
      </c>
      <c r="AC43">
        <f>HYPERLINK("https://klasma.github.io/Logging_0461/tillsynsmail/A 39433-2024 tillsynsbegäran mail.docx", "A 39433-2024")</f>
        <v/>
      </c>
    </row>
    <row r="44" ht="15" customHeight="1">
      <c r="A44" t="inlineStr">
        <is>
          <t>A 42552-2023</t>
        </is>
      </c>
      <c r="B44" t="inlineStr">
        <is>
          <t>avverkningsanmälan</t>
        </is>
      </c>
      <c r="C44" t="inlineStr">
        <is>
          <t>Föryngringsavverkning</t>
        </is>
      </c>
      <c r="D44" s="1" t="n">
        <v>45181</v>
      </c>
      <c r="E44" s="1" t="n">
        <v>46223</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s="2" t="inlineStr">
        <is>
          <t>Blåsippa</t>
        </is>
      </c>
      <c r="V44">
        <f>HYPERLINK("https://klasma.github.io/Logging_0461/artfynd/A 42552-2023 artfynd.xlsx", "A 42552-2023")</f>
        <v/>
      </c>
      <c r="W44">
        <f>HYPERLINK("https://klasma.github.io/Logging_0461/kartor/A 42552-2023 karta.png", "A 42552-2023")</f>
        <v/>
      </c>
      <c r="X44">
        <f>HYPERLINK("https://klasma.github.io/Logging_0461/kartor_geotiff/A 42552-2023 georefererad karta.tif", "A 42552-2023")</f>
        <v/>
      </c>
      <c r="Z44">
        <f>HYPERLINK("https://klasma.github.io/Logging_0461/klagomål/A 42552-2023 FSC-klagomål.docx", "A 42552-2023")</f>
        <v/>
      </c>
      <c r="AA44">
        <f>HYPERLINK("https://klasma.github.io/Logging_0461/klagomålsmail/A 42552-2023 FSC-klagomål mail.docx", "A 42552-2023")</f>
        <v/>
      </c>
      <c r="AB44">
        <f>HYPERLINK("https://klasma.github.io/Logging_0461/tillsyn/A 42552-2023 tillsynsbegäran.docx", "A 42552-2023")</f>
        <v/>
      </c>
      <c r="AC44">
        <f>HYPERLINK("https://klasma.github.io/Logging_0461/tillsynsmail/A 42552-2023 tillsynsbegäran mail.docx", "A 42552-2023")</f>
        <v/>
      </c>
    </row>
    <row r="45" ht="15" customHeight="1">
      <c r="A45" t="inlineStr">
        <is>
          <t>A 62018-2022</t>
        </is>
      </c>
      <c r="B45" t="inlineStr">
        <is>
          <t>avverkningsanmälan</t>
        </is>
      </c>
      <c r="C45" t="inlineStr">
        <is>
          <t>Föryngringsavverkning</t>
        </is>
      </c>
      <c r="D45" s="1" t="n">
        <v>44918</v>
      </c>
      <c r="E45" s="1" t="n">
        <v>46223</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s="2" t="inlineStr">
        <is>
          <t>Bergjohannesört</t>
        </is>
      </c>
      <c r="V45">
        <f>HYPERLINK("https://klasma.github.io/Logging_0461/artfynd/A 62018-2022 artfynd.xlsx", "A 62018-2022")</f>
        <v/>
      </c>
      <c r="W45">
        <f>HYPERLINK("https://klasma.github.io/Logging_0461/kartor/A 62018-2022 karta.png", "A 62018-2022")</f>
        <v/>
      </c>
      <c r="X45">
        <f>HYPERLINK("https://klasma.github.io/Logging_0461/kartor_geotiff/A 62018-2022 georefererad karta.tif", "A 62018-2022")</f>
        <v/>
      </c>
      <c r="Z45">
        <f>HYPERLINK("https://klasma.github.io/Logging_0461/klagomål/A 62018-2022 FSC-klagomål.docx", "A 62018-2022")</f>
        <v/>
      </c>
      <c r="AA45">
        <f>HYPERLINK("https://klasma.github.io/Logging_0461/klagomålsmail/A 62018-2022 FSC-klagomål mail.docx", "A 62018-2022")</f>
        <v/>
      </c>
      <c r="AB45">
        <f>HYPERLINK("https://klasma.github.io/Logging_0461/tillsyn/A 62018-2022 tillsynsbegäran.docx", "A 62018-2022")</f>
        <v/>
      </c>
      <c r="AC45">
        <f>HYPERLINK("https://klasma.github.io/Logging_0461/tillsynsmail/A 62018-2022 tillsynsbegäran mail.docx", "A 62018-2022")</f>
        <v/>
      </c>
    </row>
    <row r="46" ht="15" customHeight="1">
      <c r="A46" t="inlineStr">
        <is>
          <t>A 10550-2026</t>
        </is>
      </c>
      <c r="B46" t="inlineStr">
        <is>
          <t>avverkningsanmälan</t>
        </is>
      </c>
      <c r="C46" t="inlineStr">
        <is>
          <t>Föryngringsavverkning</t>
        </is>
      </c>
      <c r="D46" s="1" t="n">
        <v>46077</v>
      </c>
      <c r="E46" s="1" t="n">
        <v>46223</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s="2" t="inlineStr">
        <is>
          <t>Svedjenäva</t>
        </is>
      </c>
      <c r="V46">
        <f>HYPERLINK("https://klasma.github.io/Logging_0461/artfynd/A 10550-2026 artfynd.xlsx", "A 10550-2026")</f>
        <v/>
      </c>
      <c r="W46">
        <f>HYPERLINK("https://klasma.github.io/Logging_0461/kartor/A 10550-2026 karta.png", "A 10550-2026")</f>
        <v/>
      </c>
      <c r="X46">
        <f>HYPERLINK("https://klasma.github.io/Logging_0461/kartor_geotiff/A 10550-2026 georefererad karta.tif", "A 10550-2026")</f>
        <v/>
      </c>
      <c r="Z46">
        <f>HYPERLINK("https://klasma.github.io/Logging_0461/klagomål/A 10550-2026 FSC-klagomål.docx", "A 10550-2026")</f>
        <v/>
      </c>
      <c r="AA46">
        <f>HYPERLINK("https://klasma.github.io/Logging_0461/klagomålsmail/A 10550-2026 FSC-klagomål mail.docx", "A 10550-2026")</f>
        <v/>
      </c>
      <c r="AB46">
        <f>HYPERLINK("https://klasma.github.io/Logging_0461/tillsyn/A 10550-2026 tillsynsbegäran.docx", "A 10550-2026")</f>
        <v/>
      </c>
      <c r="AC46">
        <f>HYPERLINK("https://klasma.github.io/Logging_0461/tillsynsmail/A 10550-2026 tillsynsbegäran mail.docx", "A 10550-2026")</f>
        <v/>
      </c>
    </row>
    <row r="47" ht="15" customHeight="1">
      <c r="A47" t="inlineStr">
        <is>
          <t>A 9502-2026</t>
        </is>
      </c>
      <c r="B47" t="inlineStr">
        <is>
          <t>avverkningsanmälan</t>
        </is>
      </c>
      <c r="C47" t="inlineStr">
        <is>
          <t>Föryngringsavverkning</t>
        </is>
      </c>
      <c r="D47" s="1" t="n">
        <v>46071</v>
      </c>
      <c r="E47" s="1" t="n">
        <v>46223</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s="2" t="inlineStr">
        <is>
          <t>Rödgul trumpetsvamp</t>
        </is>
      </c>
      <c r="V47">
        <f>HYPERLINK("https://klasma.github.io/Logging_0461/artfynd/A 9502-2026 artfynd.xlsx", "A 9502-2026")</f>
        <v/>
      </c>
      <c r="W47">
        <f>HYPERLINK("https://klasma.github.io/Logging_0461/kartor/A 9502-2026 karta.png", "A 9502-2026")</f>
        <v/>
      </c>
      <c r="X47">
        <f>HYPERLINK("https://klasma.github.io/Logging_0461/kartor_geotiff/A 9502-2026 georefererad karta.tif", "A 9502-2026")</f>
        <v/>
      </c>
      <c r="Z47">
        <f>HYPERLINK("https://klasma.github.io/Logging_0461/klagomål/A 9502-2026 FSC-klagomål.docx", "A 9502-2026")</f>
        <v/>
      </c>
      <c r="AA47">
        <f>HYPERLINK("https://klasma.github.io/Logging_0461/klagomålsmail/A 9502-2026 FSC-klagomål mail.docx", "A 9502-2026")</f>
        <v/>
      </c>
      <c r="AB47">
        <f>HYPERLINK("https://klasma.github.io/Logging_0461/tillsyn/A 9502-2026 tillsynsbegäran.docx", "A 9502-2026")</f>
        <v/>
      </c>
      <c r="AC47">
        <f>HYPERLINK("https://klasma.github.io/Logging_0461/tillsynsmail/A 9502-2026 tillsynsbegäran mail.docx", "A 9502-2026")</f>
        <v/>
      </c>
    </row>
    <row r="48" ht="15" customHeight="1">
      <c r="A48" t="inlineStr">
        <is>
          <t>A 7661-2023</t>
        </is>
      </c>
      <c r="B48" t="inlineStr">
        <is>
          <t>avverkningsanmälan</t>
        </is>
      </c>
      <c r="C48" t="inlineStr">
        <is>
          <t>Föryngringsavverkning</t>
        </is>
      </c>
      <c r="D48" s="1" t="n">
        <v>44972</v>
      </c>
      <c r="E48" s="1" t="n">
        <v>46223</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s="2" t="inlineStr">
        <is>
          <t>Blåsippa</t>
        </is>
      </c>
      <c r="V48">
        <f>HYPERLINK("https://klasma.github.io/Logging_0461/artfynd/A 7661-2023 artfynd.xlsx", "A 7661-2023")</f>
        <v/>
      </c>
      <c r="W48">
        <f>HYPERLINK("https://klasma.github.io/Logging_0461/kartor/A 7661-2023 karta.png", "A 7661-2023")</f>
        <v/>
      </c>
      <c r="X48">
        <f>HYPERLINK("https://klasma.github.io/Logging_0461/kartor_geotiff/A 7661-2023 georefererad karta.tif", "A 7661-2023")</f>
        <v/>
      </c>
      <c r="Z48">
        <f>HYPERLINK("https://klasma.github.io/Logging_0461/klagomål/A 7661-2023 FSC-klagomål.docx", "A 7661-2023")</f>
        <v/>
      </c>
      <c r="AA48">
        <f>HYPERLINK("https://klasma.github.io/Logging_0461/klagomålsmail/A 7661-2023 FSC-klagomål mail.docx", "A 7661-2023")</f>
        <v/>
      </c>
      <c r="AB48">
        <f>HYPERLINK("https://klasma.github.io/Logging_0461/tillsyn/A 7661-2023 tillsynsbegäran.docx", "A 7661-2023")</f>
        <v/>
      </c>
      <c r="AC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46223</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s="2" t="inlineStr">
        <is>
          <t>Rävticka</t>
        </is>
      </c>
      <c r="V49">
        <f>HYPERLINK("https://klasma.github.io/Logging_0461/artfynd/A 8018-2023 artfynd.xlsx", "A 8018-2023")</f>
        <v/>
      </c>
      <c r="W49">
        <f>HYPERLINK("https://klasma.github.io/Logging_0461/kartor/A 8018-2023 karta.png", "A 8018-2023")</f>
        <v/>
      </c>
      <c r="X49">
        <f>HYPERLINK("https://klasma.github.io/Logging_0461/kartor_geotiff/A 8018-2023 georefererad karta.tif", "A 8018-2023")</f>
        <v/>
      </c>
      <c r="Z49">
        <f>HYPERLINK("https://klasma.github.io/Logging_0461/klagomål/A 8018-2023 FSC-klagomål.docx", "A 8018-2023")</f>
        <v/>
      </c>
      <c r="AA49">
        <f>HYPERLINK("https://klasma.github.io/Logging_0461/klagomålsmail/A 8018-2023 FSC-klagomål mail.docx", "A 8018-2023")</f>
        <v/>
      </c>
      <c r="AB49">
        <f>HYPERLINK("https://klasma.github.io/Logging_0461/tillsyn/A 8018-2023 tillsynsbegäran.docx", "A 8018-2023")</f>
        <v/>
      </c>
      <c r="AC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46223</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s="2" t="inlineStr">
        <is>
          <t>Tjockskalig målarmussla</t>
        </is>
      </c>
      <c r="V50">
        <f>HYPERLINK("https://klasma.github.io/Logging_0461/artfynd/A 18902-2023 artfynd.xlsx", "A 18902-2023")</f>
        <v/>
      </c>
      <c r="W50">
        <f>HYPERLINK("https://klasma.github.io/Logging_0461/kartor/A 18902-2023 karta.png", "A 18902-2023")</f>
        <v/>
      </c>
      <c r="X50">
        <f>HYPERLINK("https://klasma.github.io/Logging_0461/kartor_geotiff/A 18902-2023 georefererad karta.tif", "A 18902-2023")</f>
        <v/>
      </c>
      <c r="Z50">
        <f>HYPERLINK("https://klasma.github.io/Logging_0461/klagomål/A 18902-2023 FSC-klagomål.docx", "A 18902-2023")</f>
        <v/>
      </c>
      <c r="AA50">
        <f>HYPERLINK("https://klasma.github.io/Logging_0461/klagomålsmail/A 18902-2023 FSC-klagomål mail.docx", "A 18902-2023")</f>
        <v/>
      </c>
      <c r="AB50">
        <f>HYPERLINK("https://klasma.github.io/Logging_0461/tillsyn/A 18902-2023 tillsynsbegäran.docx", "A 18902-2023")</f>
        <v/>
      </c>
      <c r="AC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46223</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s="2" t="inlineStr">
        <is>
          <t>Blåsippa</t>
        </is>
      </c>
      <c r="V51">
        <f>HYPERLINK("https://klasma.github.io/Logging_0461/artfynd/A 40267-2023 artfynd.xlsx", "A 40267-2023")</f>
        <v/>
      </c>
      <c r="W51">
        <f>HYPERLINK("https://klasma.github.io/Logging_0461/kartor/A 40267-2023 karta.png", "A 40267-2023")</f>
        <v/>
      </c>
      <c r="X51">
        <f>HYPERLINK("https://klasma.github.io/Logging_0461/kartor_geotiff/A 40267-2023 georefererad karta.tif", "A 40267-2023")</f>
        <v/>
      </c>
      <c r="Z51">
        <f>HYPERLINK("https://klasma.github.io/Logging_0461/klagomål/A 40267-2023 FSC-klagomål.docx", "A 40267-2023")</f>
        <v/>
      </c>
      <c r="AA51">
        <f>HYPERLINK("https://klasma.github.io/Logging_0461/klagomålsmail/A 40267-2023 FSC-klagomål mail.docx", "A 40267-2023")</f>
        <v/>
      </c>
      <c r="AB51">
        <f>HYPERLINK("https://klasma.github.io/Logging_0461/tillsyn/A 40267-2023 tillsynsbegäran.docx", "A 40267-2023")</f>
        <v/>
      </c>
      <c r="AC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46223</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s="2" t="inlineStr">
        <is>
          <t>Vanlig padda</t>
        </is>
      </c>
      <c r="V52">
        <f>HYPERLINK("https://klasma.github.io/Logging_0461/artfynd/S 1487-2024 artfynd.xlsx", "S 1487-2024")</f>
        <v/>
      </c>
      <c r="W52">
        <f>HYPERLINK("https://klasma.github.io/Logging_0461/kartor/S 1487-2024 karta.png", "S 1487-2024")</f>
        <v/>
      </c>
      <c r="X52">
        <f>HYPERLINK("https://klasma.github.io/Logging_0461/kartor_geotiff/S 1487-2024 georefererad karta.tif", "S 1487-2024")</f>
        <v/>
      </c>
      <c r="Z52">
        <f>HYPERLINK("https://klasma.github.io/Logging_0461/klagomål/S 1487-2024 FSC-klagomål.docx", "S 1487-2024")</f>
        <v/>
      </c>
      <c r="AA52">
        <f>HYPERLINK("https://klasma.github.io/Logging_0461/klagomålsmail/S 1487-2024 FSC-klagomål mail.docx", "S 1487-2024")</f>
        <v/>
      </c>
      <c r="AB52">
        <f>HYPERLINK("https://klasma.github.io/Logging_0461/tillsyn/S 1487-2024 tillsynsbegäran.docx", "S 1487-2024")</f>
        <v/>
      </c>
      <c r="AC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46223</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s="2" t="inlineStr"/>
    </row>
    <row r="54" ht="15" customHeight="1">
      <c r="A54" t="inlineStr">
        <is>
          <t>A 5301-2022</t>
        </is>
      </c>
      <c r="B54" t="inlineStr">
        <is>
          <t>avverkningsanmälan</t>
        </is>
      </c>
      <c r="C54" t="inlineStr">
        <is>
          <t>Föryngringsavverkning</t>
        </is>
      </c>
      <c r="D54" s="1" t="n">
        <v>44594</v>
      </c>
      <c r="E54" s="1" t="n">
        <v>46223</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s="2" t="inlineStr"/>
    </row>
    <row r="55" ht="15" customHeight="1">
      <c r="A55" t="inlineStr">
        <is>
          <t>A 7303-2022</t>
        </is>
      </c>
      <c r="B55" t="inlineStr">
        <is>
          <t>avverkningsanmälan</t>
        </is>
      </c>
      <c r="C55" t="inlineStr">
        <is>
          <t>Föryngringsavverkning</t>
        </is>
      </c>
      <c r="D55" s="1" t="n">
        <v>44606</v>
      </c>
      <c r="E55" s="1" t="n">
        <v>46223</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s="2" t="inlineStr"/>
    </row>
    <row r="56" ht="15" customHeight="1">
      <c r="A56" t="inlineStr">
        <is>
          <t>A 29527-2022</t>
        </is>
      </c>
      <c r="B56" t="inlineStr">
        <is>
          <t>avverkningsanmälan</t>
        </is>
      </c>
      <c r="C56" t="inlineStr">
        <is>
          <t>Föryngringsavverkning</t>
        </is>
      </c>
      <c r="D56" s="1" t="n">
        <v>44742</v>
      </c>
      <c r="E56" s="1" t="n">
        <v>46223</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s="2" t="inlineStr"/>
    </row>
    <row r="57" ht="15" customHeight="1">
      <c r="A57" t="inlineStr">
        <is>
          <t>A 954-2022</t>
        </is>
      </c>
      <c r="B57" t="inlineStr">
        <is>
          <t>avverkningsanmälan</t>
        </is>
      </c>
      <c r="C57" t="inlineStr">
        <is>
          <t>Föryngringsavverkning</t>
        </is>
      </c>
      <c r="D57" s="1" t="n">
        <v>44571</v>
      </c>
      <c r="E57" s="1" t="n">
        <v>46223</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s="2" t="inlineStr"/>
    </row>
    <row r="58" ht="15" customHeight="1">
      <c r="A58" t="inlineStr">
        <is>
          <t>A 7506-2022</t>
        </is>
      </c>
      <c r="B58" t="inlineStr">
        <is>
          <t>avverkningsanmälan</t>
        </is>
      </c>
      <c r="C58" t="inlineStr">
        <is>
          <t>Föryngringsavverkning</t>
        </is>
      </c>
      <c r="D58" s="1" t="n">
        <v>44607</v>
      </c>
      <c r="E58" s="1" t="n">
        <v>46223</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s="2" t="inlineStr"/>
    </row>
    <row r="59" ht="15" customHeight="1">
      <c r="A59" t="inlineStr">
        <is>
          <t>A 2982-2022</t>
        </is>
      </c>
      <c r="B59" t="inlineStr">
        <is>
          <t>avverkningsanmälan</t>
        </is>
      </c>
      <c r="C59" t="inlineStr">
        <is>
          <t>Föryngringsavverkning</t>
        </is>
      </c>
      <c r="D59" s="1" t="n">
        <v>44581</v>
      </c>
      <c r="E59" s="1" t="n">
        <v>46223</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s="2" t="inlineStr"/>
    </row>
    <row r="60" ht="15" customHeight="1">
      <c r="A60" t="inlineStr">
        <is>
          <t>A 2983-2022</t>
        </is>
      </c>
      <c r="B60" t="inlineStr">
        <is>
          <t>avverkningsanmälan</t>
        </is>
      </c>
      <c r="C60" t="inlineStr">
        <is>
          <t>Föryngringsavverkning</t>
        </is>
      </c>
      <c r="D60" s="1" t="n">
        <v>44581</v>
      </c>
      <c r="E60" s="1" t="n">
        <v>46223</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s="2" t="inlineStr"/>
    </row>
    <row r="61" ht="15" customHeight="1">
      <c r="A61" t="inlineStr">
        <is>
          <t>A 24354-2022</t>
        </is>
      </c>
      <c r="B61" t="inlineStr">
        <is>
          <t>avverkningsanmälan</t>
        </is>
      </c>
      <c r="C61" t="inlineStr">
        <is>
          <t>Föryngringsavverkning</t>
        </is>
      </c>
      <c r="D61" s="1" t="n">
        <v>44726</v>
      </c>
      <c r="E61" s="1" t="n">
        <v>46223</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s="2" t="inlineStr"/>
    </row>
    <row r="62" ht="15" customHeight="1">
      <c r="A62" t="inlineStr">
        <is>
          <t>A 31306-2022</t>
        </is>
      </c>
      <c r="B62" t="inlineStr">
        <is>
          <t>avverkningsanmälan</t>
        </is>
      </c>
      <c r="C62" t="inlineStr">
        <is>
          <t>Föryngringsavverkning</t>
        </is>
      </c>
      <c r="D62" s="1" t="n">
        <v>44773</v>
      </c>
      <c r="E62" s="1" t="n">
        <v>46223</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s="2" t="inlineStr"/>
    </row>
    <row r="63" ht="15" customHeight="1">
      <c r="A63" t="inlineStr">
        <is>
          <t>A 53492-2021</t>
        </is>
      </c>
      <c r="B63" t="inlineStr">
        <is>
          <t>avverkningsanmälan</t>
        </is>
      </c>
      <c r="C63" t="inlineStr">
        <is>
          <t>Föryngringsavverkning</t>
        </is>
      </c>
      <c r="D63" s="1" t="n">
        <v>44468</v>
      </c>
      <c r="E63" s="1" t="n">
        <v>46223</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s="2" t="inlineStr"/>
    </row>
    <row r="64" ht="15" customHeight="1">
      <c r="A64" t="inlineStr">
        <is>
          <t>A 5270-2022</t>
        </is>
      </c>
      <c r="B64" t="inlineStr">
        <is>
          <t>avverkningsanmälan</t>
        </is>
      </c>
      <c r="C64" t="inlineStr">
        <is>
          <t>Föryngringsavverkning</t>
        </is>
      </c>
      <c r="D64" s="1" t="n">
        <v>44594</v>
      </c>
      <c r="E64" s="1" t="n">
        <v>46223</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s="2" t="inlineStr"/>
    </row>
    <row r="65" ht="15" customHeight="1">
      <c r="A65" t="inlineStr">
        <is>
          <t>A 44624-2022</t>
        </is>
      </c>
      <c r="B65" t="inlineStr">
        <is>
          <t>avverkningsanmälan</t>
        </is>
      </c>
      <c r="C65" t="inlineStr">
        <is>
          <t>Föryngringsavverkning</t>
        </is>
      </c>
      <c r="D65" s="1" t="n">
        <v>44839</v>
      </c>
      <c r="E65" s="1" t="n">
        <v>46223</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s="2" t="inlineStr"/>
    </row>
    <row r="66" ht="15" customHeight="1">
      <c r="A66" t="inlineStr">
        <is>
          <t>A 60919-2021</t>
        </is>
      </c>
      <c r="B66" t="inlineStr">
        <is>
          <t>avverkningsanmälan</t>
        </is>
      </c>
      <c r="C66" t="inlineStr">
        <is>
          <t>Föryngringsavverkning</t>
        </is>
      </c>
      <c r="D66" s="1" t="n">
        <v>44497</v>
      </c>
      <c r="E66" s="1" t="n">
        <v>46223</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s="2" t="inlineStr"/>
    </row>
    <row r="67" ht="15" customHeight="1">
      <c r="A67" t="inlineStr">
        <is>
          <t>A 43198-2022</t>
        </is>
      </c>
      <c r="B67" t="inlineStr">
        <is>
          <t>avverkningsanmälan</t>
        </is>
      </c>
      <c r="C67" t="inlineStr">
        <is>
          <t>Föryngringsavverkning</t>
        </is>
      </c>
      <c r="D67" s="1" t="n">
        <v>44833</v>
      </c>
      <c r="E67" s="1" t="n">
        <v>46223</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s="2" t="inlineStr"/>
    </row>
    <row r="68" ht="15" customHeight="1">
      <c r="A68" t="inlineStr">
        <is>
          <t>A 39018-2021</t>
        </is>
      </c>
      <c r="B68" t="inlineStr">
        <is>
          <t>avverkningsanmälan</t>
        </is>
      </c>
      <c r="C68" t="inlineStr">
        <is>
          <t>Föryngringsavverkning</t>
        </is>
      </c>
      <c r="D68" s="1" t="n">
        <v>44412</v>
      </c>
      <c r="E68" s="1" t="n">
        <v>46223</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s="2" t="inlineStr"/>
    </row>
    <row r="69" ht="15" customHeight="1">
      <c r="A69" t="inlineStr">
        <is>
          <t>A 71150-2021</t>
        </is>
      </c>
      <c r="B69" t="inlineStr">
        <is>
          <t>avverkningsanmälan</t>
        </is>
      </c>
      <c r="C69" t="inlineStr">
        <is>
          <t>Föryngringsavverkning</t>
        </is>
      </c>
      <c r="D69" s="1" t="n">
        <v>44539</v>
      </c>
      <c r="E69" s="1" t="n">
        <v>46223</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s="2" t="inlineStr"/>
    </row>
    <row r="70" ht="15" customHeight="1">
      <c r="A70" t="inlineStr">
        <is>
          <t>A 52247-2022</t>
        </is>
      </c>
      <c r="B70" t="inlineStr">
        <is>
          <t>avverkningsanmälan</t>
        </is>
      </c>
      <c r="C70" t="inlineStr">
        <is>
          <t>Avverkning för annat ändamål</t>
        </is>
      </c>
      <c r="D70" s="1" t="n">
        <v>44873</v>
      </c>
      <c r="E70" s="1" t="n">
        <v>46223</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s="2" t="inlineStr"/>
    </row>
    <row r="71" ht="15" customHeight="1">
      <c r="A71" t="inlineStr">
        <is>
          <t>A 3280-2022</t>
        </is>
      </c>
      <c r="B71" t="inlineStr">
        <is>
          <t>avverkningsanmälan</t>
        </is>
      </c>
      <c r="C71" t="inlineStr">
        <is>
          <t>Föryngringsavverkning</t>
        </is>
      </c>
      <c r="D71" s="1" t="n">
        <v>44584</v>
      </c>
      <c r="E71" s="1" t="n">
        <v>46223</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s="2" t="inlineStr"/>
    </row>
    <row r="72" ht="15" customHeight="1">
      <c r="A72" t="inlineStr">
        <is>
          <t>A 5397-2022</t>
        </is>
      </c>
      <c r="B72" t="inlineStr">
        <is>
          <t>avverkningsanmälan</t>
        </is>
      </c>
      <c r="C72" t="inlineStr">
        <is>
          <t>Föryngringsavverkning</t>
        </is>
      </c>
      <c r="D72" s="1" t="n">
        <v>44595</v>
      </c>
      <c r="E72" s="1" t="n">
        <v>46223</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s="2" t="inlineStr"/>
    </row>
    <row r="73" ht="15" customHeight="1">
      <c r="A73" t="inlineStr">
        <is>
          <t>A 4469-2022</t>
        </is>
      </c>
      <c r="B73" t="inlineStr">
        <is>
          <t>avverkningsanmälan</t>
        </is>
      </c>
      <c r="C73" t="inlineStr">
        <is>
          <t>Föryngringsavverkning</t>
        </is>
      </c>
      <c r="D73" s="1" t="n">
        <v>44589</v>
      </c>
      <c r="E73" s="1" t="n">
        <v>46223</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s="2" t="inlineStr"/>
    </row>
    <row r="74" ht="15" customHeight="1">
      <c r="A74" t="inlineStr">
        <is>
          <t>A 4474-2022</t>
        </is>
      </c>
      <c r="B74" t="inlineStr">
        <is>
          <t>avverkningsanmälan</t>
        </is>
      </c>
      <c r="C74" t="inlineStr">
        <is>
          <t>Föryngringsavverkning</t>
        </is>
      </c>
      <c r="D74" s="1" t="n">
        <v>44589</v>
      </c>
      <c r="E74" s="1" t="n">
        <v>46223</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s="2" t="inlineStr"/>
    </row>
    <row r="75" ht="15" customHeight="1">
      <c r="A75" t="inlineStr">
        <is>
          <t>A 35173-2022</t>
        </is>
      </c>
      <c r="B75" t="inlineStr">
        <is>
          <t>avverkningsanmälan</t>
        </is>
      </c>
      <c r="C75" t="inlineStr">
        <is>
          <t>Föryngringsavverkning</t>
        </is>
      </c>
      <c r="D75" s="1" t="n">
        <v>44797</v>
      </c>
      <c r="E75" s="1" t="n">
        <v>46223</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s="2" t="inlineStr"/>
    </row>
    <row r="76" ht="15" customHeight="1">
      <c r="A76" t="inlineStr">
        <is>
          <t>A 3863-2022</t>
        </is>
      </c>
      <c r="B76" t="inlineStr">
        <is>
          <t>avverkningsanmälan</t>
        </is>
      </c>
      <c r="C76" t="inlineStr">
        <is>
          <t>Föryngringsavverkning</t>
        </is>
      </c>
      <c r="D76" s="1" t="n">
        <v>44587</v>
      </c>
      <c r="E76" s="1" t="n">
        <v>46223</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s="2" t="inlineStr"/>
    </row>
    <row r="77" ht="15" customHeight="1">
      <c r="A77" t="inlineStr">
        <is>
          <t>A 15105-2022</t>
        </is>
      </c>
      <c r="B77" t="inlineStr">
        <is>
          <t>avverkningsanmälan</t>
        </is>
      </c>
      <c r="C77" t="inlineStr">
        <is>
          <t>Föryngringsavverkning</t>
        </is>
      </c>
      <c r="D77" s="1" t="n">
        <v>44657</v>
      </c>
      <c r="E77" s="1" t="n">
        <v>46223</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s="2" t="inlineStr"/>
    </row>
    <row r="78" ht="15" customHeight="1">
      <c r="A78" t="inlineStr">
        <is>
          <t>A 68869-2021</t>
        </is>
      </c>
      <c r="B78" t="inlineStr">
        <is>
          <t>avverkningsanmälan</t>
        </is>
      </c>
      <c r="C78" t="inlineStr">
        <is>
          <t>Föryngringsavverkning</t>
        </is>
      </c>
      <c r="D78" s="1" t="n">
        <v>44529</v>
      </c>
      <c r="E78" s="1" t="n">
        <v>46223</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s="2" t="inlineStr"/>
    </row>
    <row r="79" ht="15" customHeight="1">
      <c r="A79" t="inlineStr">
        <is>
          <t>A 41914-2021</t>
        </is>
      </c>
      <c r="B79" t="inlineStr">
        <is>
          <t>avverkningsanmälan</t>
        </is>
      </c>
      <c r="C79" t="inlineStr">
        <is>
          <t>Föryngringsavverkning</t>
        </is>
      </c>
      <c r="D79" s="1" t="n">
        <v>44426</v>
      </c>
      <c r="E79" s="1" t="n">
        <v>46223</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s="2" t="inlineStr"/>
    </row>
    <row r="80" ht="15" customHeight="1">
      <c r="A80" t="inlineStr">
        <is>
          <t>A 17304-2022</t>
        </is>
      </c>
      <c r="B80" t="inlineStr">
        <is>
          <t>avverkningsanmälan</t>
        </is>
      </c>
      <c r="C80" t="inlineStr">
        <is>
          <t>Föryngringsavverkning</t>
        </is>
      </c>
      <c r="D80" s="1" t="n">
        <v>44678</v>
      </c>
      <c r="E80" s="1" t="n">
        <v>46223</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s="2" t="inlineStr"/>
    </row>
    <row r="81" ht="15" customHeight="1">
      <c r="A81" t="inlineStr">
        <is>
          <t>A 2276-2022</t>
        </is>
      </c>
      <c r="B81" t="inlineStr">
        <is>
          <t>avverkningsanmälan</t>
        </is>
      </c>
      <c r="C81" t="inlineStr">
        <is>
          <t>Föryngringsavverkning</t>
        </is>
      </c>
      <c r="D81" s="1" t="n">
        <v>44578</v>
      </c>
      <c r="E81" s="1" t="n">
        <v>46223</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s="2" t="inlineStr"/>
    </row>
    <row r="82" ht="15" customHeight="1">
      <c r="A82" t="inlineStr">
        <is>
          <t>A 31830-2022</t>
        </is>
      </c>
      <c r="B82" t="inlineStr">
        <is>
          <t>avverkningsanmälan</t>
        </is>
      </c>
      <c r="C82" t="inlineStr">
        <is>
          <t>Föryngringsavverkning</t>
        </is>
      </c>
      <c r="D82" s="1" t="n">
        <v>44776</v>
      </c>
      <c r="E82" s="1" t="n">
        <v>46223</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s="2" t="inlineStr"/>
    </row>
    <row r="83" ht="15" customHeight="1">
      <c r="A83" t="inlineStr">
        <is>
          <t>A 42226-2022</t>
        </is>
      </c>
      <c r="B83" t="inlineStr">
        <is>
          <t>avverkningsanmälan</t>
        </is>
      </c>
      <c r="C83" t="inlineStr">
        <is>
          <t>Föryngringsavverkning</t>
        </is>
      </c>
      <c r="D83" s="1" t="n">
        <v>44830</v>
      </c>
      <c r="E83" s="1" t="n">
        <v>46223</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s="2" t="inlineStr"/>
    </row>
    <row r="84" ht="15" customHeight="1">
      <c r="A84" t="inlineStr">
        <is>
          <t>A 57612-2021</t>
        </is>
      </c>
      <c r="B84" t="inlineStr">
        <is>
          <t>avverkningsanmälan</t>
        </is>
      </c>
      <c r="C84" t="inlineStr">
        <is>
          <t>Föryngringsavverkning</t>
        </is>
      </c>
      <c r="D84" s="1" t="n">
        <v>44484</v>
      </c>
      <c r="E84" s="1" t="n">
        <v>46223</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s="2" t="inlineStr"/>
    </row>
    <row r="85" ht="15" customHeight="1">
      <c r="A85" t="inlineStr">
        <is>
          <t>A 42524-2022</t>
        </is>
      </c>
      <c r="B85" t="inlineStr">
        <is>
          <t>avverkningsanmälan</t>
        </is>
      </c>
      <c r="C85" t="inlineStr">
        <is>
          <t>Föryngringsavverkning</t>
        </is>
      </c>
      <c r="D85" s="1" t="n">
        <v>44831</v>
      </c>
      <c r="E85" s="1" t="n">
        <v>46223</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s="2" t="inlineStr"/>
    </row>
    <row r="86" ht="15" customHeight="1">
      <c r="A86" t="inlineStr">
        <is>
          <t>A 20792-2022</t>
        </is>
      </c>
      <c r="B86" t="inlineStr">
        <is>
          <t>avverkningsanmälan</t>
        </is>
      </c>
      <c r="C86" t="inlineStr">
        <is>
          <t>Föryngringsavverkning</t>
        </is>
      </c>
      <c r="D86" s="1" t="n">
        <v>44701</v>
      </c>
      <c r="E86" s="1" t="n">
        <v>46223</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s="2" t="inlineStr"/>
    </row>
    <row r="87" ht="15" customHeight="1">
      <c r="A87" t="inlineStr">
        <is>
          <t>A 43035-2021</t>
        </is>
      </c>
      <c r="B87" t="inlineStr">
        <is>
          <t>avverkningsanmälan</t>
        </is>
      </c>
      <c r="C87" t="inlineStr">
        <is>
          <t>Föryngringsavverkning</t>
        </is>
      </c>
      <c r="D87" s="1" t="n">
        <v>44431</v>
      </c>
      <c r="E87" s="1" t="n">
        <v>46223</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s="2" t="inlineStr"/>
    </row>
    <row r="88" ht="15" customHeight="1">
      <c r="A88" t="inlineStr">
        <is>
          <t>A 47969-2022</t>
        </is>
      </c>
      <c r="B88" t="inlineStr">
        <is>
          <t>avverkningsanmälan</t>
        </is>
      </c>
      <c r="C88" t="inlineStr">
        <is>
          <t>Föryngringsavverkning</t>
        </is>
      </c>
      <c r="D88" s="1" t="n">
        <v>44853</v>
      </c>
      <c r="E88" s="1" t="n">
        <v>46223</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s="2" t="inlineStr"/>
    </row>
    <row r="89" ht="15" customHeight="1">
      <c r="A89" t="inlineStr">
        <is>
          <t>A 46079-2021</t>
        </is>
      </c>
      <c r="B89" t="inlineStr">
        <is>
          <t>avverkningsanmälan</t>
        </is>
      </c>
      <c r="C89" t="inlineStr">
        <is>
          <t>Föryngringsavverkning</t>
        </is>
      </c>
      <c r="D89" s="1" t="n">
        <v>44442</v>
      </c>
      <c r="E89" s="1" t="n">
        <v>46223</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s="2" t="inlineStr"/>
    </row>
    <row r="90" ht="15" customHeight="1">
      <c r="A90" t="inlineStr">
        <is>
          <t>A 56815-2021</t>
        </is>
      </c>
      <c r="B90" t="inlineStr">
        <is>
          <t>avverkningsanmälan</t>
        </is>
      </c>
      <c r="C90" t="inlineStr">
        <is>
          <t>Föryngringsavverkning</t>
        </is>
      </c>
      <c r="D90" s="1" t="n">
        <v>44481</v>
      </c>
      <c r="E90" s="1" t="n">
        <v>46223</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s="2" t="inlineStr"/>
    </row>
    <row r="91" ht="15" customHeight="1">
      <c r="A91" t="inlineStr">
        <is>
          <t>A 44943-2021</t>
        </is>
      </c>
      <c r="B91" t="inlineStr">
        <is>
          <t>avverkningsanmälan</t>
        </is>
      </c>
      <c r="C91" t="inlineStr">
        <is>
          <t>Föryngringsavverkning</t>
        </is>
      </c>
      <c r="D91" s="1" t="n">
        <v>44438</v>
      </c>
      <c r="E91" s="1" t="n">
        <v>46223</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s="2" t="inlineStr"/>
    </row>
    <row r="92" ht="15" customHeight="1">
      <c r="A92" t="inlineStr">
        <is>
          <t>A 45911-2022</t>
        </is>
      </c>
      <c r="B92" t="inlineStr">
        <is>
          <t>avverkningsanmälan</t>
        </is>
      </c>
      <c r="C92" t="inlineStr">
        <is>
          <t>Föryngringsavverkning</t>
        </is>
      </c>
      <c r="D92" s="1" t="n">
        <v>44846</v>
      </c>
      <c r="E92" s="1" t="n">
        <v>46223</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s="2" t="inlineStr"/>
    </row>
    <row r="93" ht="15" customHeight="1">
      <c r="A93" t="inlineStr">
        <is>
          <t>A 59616-2021</t>
        </is>
      </c>
      <c r="B93" t="inlineStr">
        <is>
          <t>avverkningsanmälan</t>
        </is>
      </c>
      <c r="C93" t="inlineStr">
        <is>
          <t>Föryngringsavverkning</t>
        </is>
      </c>
      <c r="D93" s="1" t="n">
        <v>44491</v>
      </c>
      <c r="E93" s="1" t="n">
        <v>46223</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s="2" t="inlineStr"/>
    </row>
    <row r="94" ht="15" customHeight="1">
      <c r="A94" t="inlineStr">
        <is>
          <t>A 32273-2022</t>
        </is>
      </c>
      <c r="B94" t="inlineStr">
        <is>
          <t>avverkningsanmälan</t>
        </is>
      </c>
      <c r="C94" t="inlineStr">
        <is>
          <t>Avverkning för att bevara och utveckla /försöksver</t>
        </is>
      </c>
      <c r="D94" s="1" t="n">
        <v>44781</v>
      </c>
      <c r="E94" s="1" t="n">
        <v>46223</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s="2" t="inlineStr"/>
    </row>
    <row r="95" ht="15" customHeight="1">
      <c r="A95" t="inlineStr">
        <is>
          <t>A 70782-2021</t>
        </is>
      </c>
      <c r="B95" t="inlineStr">
        <is>
          <t>avverkningsanmälan</t>
        </is>
      </c>
      <c r="C95" t="inlineStr">
        <is>
          <t>Föryngringsavverkning</t>
        </is>
      </c>
      <c r="D95" s="1" t="n">
        <v>44537</v>
      </c>
      <c r="E95" s="1" t="n">
        <v>46223</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s="2" t="inlineStr"/>
    </row>
    <row r="96" ht="15" customHeight="1">
      <c r="A96" t="inlineStr">
        <is>
          <t>A 43201-2022</t>
        </is>
      </c>
      <c r="B96" t="inlineStr">
        <is>
          <t>avverkningsanmälan</t>
        </is>
      </c>
      <c r="C96" t="inlineStr">
        <is>
          <t>Föryngringsavverkning</t>
        </is>
      </c>
      <c r="D96" s="1" t="n">
        <v>44833</v>
      </c>
      <c r="E96" s="1" t="n">
        <v>46223</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s="2" t="inlineStr"/>
    </row>
    <row r="97" ht="15" customHeight="1">
      <c r="A97" t="inlineStr">
        <is>
          <t>A 6155-2022</t>
        </is>
      </c>
      <c r="B97" t="inlineStr">
        <is>
          <t>avverkningsanmälan</t>
        </is>
      </c>
      <c r="C97" t="inlineStr">
        <is>
          <t>Föryngringsavverkning</t>
        </is>
      </c>
      <c r="D97" s="1" t="n">
        <v>44599</v>
      </c>
      <c r="E97" s="1" t="n">
        <v>46223</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s="2" t="inlineStr"/>
    </row>
    <row r="98" ht="15" customHeight="1">
      <c r="A98" t="inlineStr">
        <is>
          <t>A 68687-2021</t>
        </is>
      </c>
      <c r="B98" t="inlineStr">
        <is>
          <t>avverkningsanmälan</t>
        </is>
      </c>
      <c r="C98" t="inlineStr">
        <is>
          <t>Föryngringsavverkning</t>
        </is>
      </c>
      <c r="D98" s="1" t="n">
        <v>44529</v>
      </c>
      <c r="E98" s="1" t="n">
        <v>46223</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s="2" t="inlineStr"/>
    </row>
    <row r="99" ht="15" customHeight="1">
      <c r="A99" t="inlineStr">
        <is>
          <t>A 4383-2022</t>
        </is>
      </c>
      <c r="B99" t="inlineStr">
        <is>
          <t>avverkningsanmälan</t>
        </is>
      </c>
      <c r="C99" t="inlineStr">
        <is>
          <t>Föryngringsavverkning</t>
        </is>
      </c>
      <c r="D99" s="1" t="n">
        <v>44589</v>
      </c>
      <c r="E99" s="1" t="n">
        <v>46223</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s="2" t="inlineStr"/>
    </row>
    <row r="100" ht="15" customHeight="1">
      <c r="A100" t="inlineStr">
        <is>
          <t>A 42178-2022</t>
        </is>
      </c>
      <c r="B100" t="inlineStr">
        <is>
          <t>avverkningsanmälan</t>
        </is>
      </c>
      <c r="C100" t="inlineStr">
        <is>
          <t>Föryngringsavverkning</t>
        </is>
      </c>
      <c r="D100" s="1" t="n">
        <v>44830</v>
      </c>
      <c r="E100" s="1" t="n">
        <v>46223</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49885-2021</t>
        </is>
      </c>
      <c r="B101" t="inlineStr">
        <is>
          <t>avverkningsanmälan</t>
        </is>
      </c>
      <c r="C101" t="inlineStr">
        <is>
          <t>Föryngringsavverkning</t>
        </is>
      </c>
      <c r="D101" s="1" t="n">
        <v>44455</v>
      </c>
      <c r="E101" s="1" t="n">
        <v>46223</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32320-2022</t>
        </is>
      </c>
      <c r="B102" t="inlineStr">
        <is>
          <t>avverkningsanmälan</t>
        </is>
      </c>
      <c r="C102" t="inlineStr">
        <is>
          <t>Avverkning för att bevara och utveckla /försöksver</t>
        </is>
      </c>
      <c r="D102" s="1" t="n">
        <v>44781</v>
      </c>
      <c r="E102" s="1" t="n">
        <v>46223</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43192-2022</t>
        </is>
      </c>
      <c r="B103" t="inlineStr">
        <is>
          <t>avverkningsanmälan</t>
        </is>
      </c>
      <c r="C103" t="inlineStr">
        <is>
          <t>Föryngringsavverkning</t>
        </is>
      </c>
      <c r="D103" s="1" t="n">
        <v>44833</v>
      </c>
      <c r="E103" s="1" t="n">
        <v>46223</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56824-2021</t>
        </is>
      </c>
      <c r="B104" t="inlineStr">
        <is>
          <t>avverkningsanmälan</t>
        </is>
      </c>
      <c r="C104" t="inlineStr">
        <is>
          <t>Föryngringsavverkning</t>
        </is>
      </c>
      <c r="D104" s="1" t="n">
        <v>44481</v>
      </c>
      <c r="E104" s="1" t="n">
        <v>46223</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72529-2021</t>
        </is>
      </c>
      <c r="B105" t="inlineStr">
        <is>
          <t>avverkningsanmälan</t>
        </is>
      </c>
      <c r="C105" t="inlineStr">
        <is>
          <t>Föryngringsavverkning</t>
        </is>
      </c>
      <c r="D105" s="1" t="n">
        <v>44546</v>
      </c>
      <c r="E105" s="1" t="n">
        <v>46223</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68362-2021</t>
        </is>
      </c>
      <c r="B106" t="inlineStr">
        <is>
          <t>avverkningsanmälan</t>
        </is>
      </c>
      <c r="C106" t="inlineStr">
        <is>
          <t>Föryngringsavverkning</t>
        </is>
      </c>
      <c r="D106" s="1" t="n">
        <v>44528</v>
      </c>
      <c r="E106" s="1" t="n">
        <v>46223</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19909-2022</t>
        </is>
      </c>
      <c r="B107" t="inlineStr">
        <is>
          <t>avverkningsanmälan</t>
        </is>
      </c>
      <c r="C107" t="inlineStr">
        <is>
          <t>Föryngringsavverkning</t>
        </is>
      </c>
      <c r="D107" s="1" t="n">
        <v>44694</v>
      </c>
      <c r="E107" s="1" t="n">
        <v>46223</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4438-2022</t>
        </is>
      </c>
      <c r="B108" t="inlineStr">
        <is>
          <t>avverkningsanmälan</t>
        </is>
      </c>
      <c r="C108" t="inlineStr">
        <is>
          <t>Föryngringsavverkning</t>
        </is>
      </c>
      <c r="D108" s="1" t="n">
        <v>44589</v>
      </c>
      <c r="E108" s="1" t="n">
        <v>46223</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41103-2021</t>
        </is>
      </c>
      <c r="B109" t="inlineStr">
        <is>
          <t>avverkningsanmälan</t>
        </is>
      </c>
      <c r="C109" t="inlineStr">
        <is>
          <t>Föryngringsavverkning</t>
        </is>
      </c>
      <c r="D109" s="1" t="n">
        <v>44423</v>
      </c>
      <c r="E109" s="1" t="n">
        <v>46223</v>
      </c>
      <c r="F109" t="inlineStr">
        <is>
          <t>SÖDERMANLANDS LÄN</t>
        </is>
      </c>
      <c r="G109" t="inlineStr">
        <is>
          <t>GNESTA</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71772-2021</t>
        </is>
      </c>
      <c r="B110" t="inlineStr">
        <is>
          <t>avverkningsanmälan</t>
        </is>
      </c>
      <c r="C110" t="inlineStr">
        <is>
          <t>Föryngringsavverkning</t>
        </is>
      </c>
      <c r="D110" s="1" t="n">
        <v>44543</v>
      </c>
      <c r="E110" s="1" t="n">
        <v>46223</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16927-2024</t>
        </is>
      </c>
      <c r="B111" t="inlineStr">
        <is>
          <t>avverkningsanmälan</t>
        </is>
      </c>
      <c r="C111" t="inlineStr">
        <is>
          <t>Föryngringsavverkning</t>
        </is>
      </c>
      <c r="D111" s="1" t="n">
        <v>45411</v>
      </c>
      <c r="E111" s="1" t="n">
        <v>46223</v>
      </c>
      <c r="F111" t="inlineStr">
        <is>
          <t>SÖDERMANLANDS LÄN</t>
        </is>
      </c>
      <c r="G111" t="inlineStr">
        <is>
          <t>GNESTA</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44788-2022</t>
        </is>
      </c>
      <c r="B112" t="inlineStr">
        <is>
          <t>avverkningsanmälan</t>
        </is>
      </c>
      <c r="C112" t="inlineStr">
        <is>
          <t>Föryngringsavverkning</t>
        </is>
      </c>
      <c r="D112" s="1" t="n">
        <v>44839</v>
      </c>
      <c r="E112" s="1" t="n">
        <v>46223</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s="2" t="inlineStr"/>
    </row>
    <row r="113" ht="15" customHeight="1">
      <c r="A113" t="inlineStr">
        <is>
          <t>A 6979-2024</t>
        </is>
      </c>
      <c r="B113" t="inlineStr">
        <is>
          <t>avverkningsanmälan</t>
        </is>
      </c>
      <c r="C113" t="inlineStr">
        <is>
          <t>Föryngringsavverkning</t>
        </is>
      </c>
      <c r="D113" s="1" t="n">
        <v>45343</v>
      </c>
      <c r="E113" s="1" t="n">
        <v>46223</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65000-2023</t>
        </is>
      </c>
      <c r="B114" t="inlineStr">
        <is>
          <t>avverkningsanmälan</t>
        </is>
      </c>
      <c r="C114" t="inlineStr">
        <is>
          <t>Föryngringsavverkning</t>
        </is>
      </c>
      <c r="D114" s="1" t="n">
        <v>45286</v>
      </c>
      <c r="E114" s="1" t="n">
        <v>46223</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33758-2022</t>
        </is>
      </c>
      <c r="B115" t="inlineStr">
        <is>
          <t>avverkningsanmälan</t>
        </is>
      </c>
      <c r="C115" t="inlineStr">
        <is>
          <t>Föryngringsavverkning</t>
        </is>
      </c>
      <c r="D115" s="1" t="n">
        <v>44790</v>
      </c>
      <c r="E115" s="1" t="n">
        <v>46223</v>
      </c>
      <c r="F115" t="inlineStr">
        <is>
          <t>SÖDERMANLANDS LÄN</t>
        </is>
      </c>
      <c r="G115" t="inlineStr">
        <is>
          <t>GNESTA</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3002-2023</t>
        </is>
      </c>
      <c r="B116" t="inlineStr">
        <is>
          <t>avverkningsanmälan</t>
        </is>
      </c>
      <c r="C116" t="inlineStr">
        <is>
          <t>Föryngringsavverkning</t>
        </is>
      </c>
      <c r="D116" s="1" t="n">
        <v>44945</v>
      </c>
      <c r="E116" s="1" t="n">
        <v>46223</v>
      </c>
      <c r="F116" t="inlineStr">
        <is>
          <t>SÖDERMANLANDS LÄN</t>
        </is>
      </c>
      <c r="G116" t="inlineStr">
        <is>
          <t>GNESTA</t>
        </is>
      </c>
      <c r="H116" t="inlineStr">
        <is>
          <t>Kommuner</t>
        </is>
      </c>
      <c r="I116" t="n">
        <v>1.9</v>
      </c>
      <c r="J116" t="n">
        <v>0</v>
      </c>
      <c r="K116" t="n">
        <v>0</v>
      </c>
      <c r="L116" t="n">
        <v>0</v>
      </c>
      <c r="M116" t="n">
        <v>0</v>
      </c>
      <c r="N116" t="n">
        <v>0</v>
      </c>
      <c r="O116" t="n">
        <v>0</v>
      </c>
      <c r="P116" t="n">
        <v>0</v>
      </c>
      <c r="Q116" t="n">
        <v>0</v>
      </c>
      <c r="R116" t="n">
        <v>0</v>
      </c>
      <c r="S116" t="n">
        <v>0</v>
      </c>
      <c r="T116" t="n">
        <v>0</v>
      </c>
      <c r="U116" s="2" t="inlineStr"/>
    </row>
    <row r="117" ht="15" customHeight="1">
      <c r="A117" t="inlineStr">
        <is>
          <t>A 62428-2023</t>
        </is>
      </c>
      <c r="B117" t="inlineStr">
        <is>
          <t>avverkningsanmälan</t>
        </is>
      </c>
      <c r="C117" t="inlineStr">
        <is>
          <t>Föryngringsavverkning</t>
        </is>
      </c>
      <c r="D117" s="1" t="n">
        <v>45268</v>
      </c>
      <c r="E117" s="1" t="n">
        <v>46223</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40075-2022</t>
        </is>
      </c>
      <c r="B118" t="inlineStr">
        <is>
          <t>avverkningsanmälan</t>
        </is>
      </c>
      <c r="C118" t="inlineStr">
        <is>
          <t>Föryngringsavverkning</t>
        </is>
      </c>
      <c r="D118" s="1" t="n">
        <v>44819</v>
      </c>
      <c r="E118" s="1" t="n">
        <v>46223</v>
      </c>
      <c r="F118" t="inlineStr">
        <is>
          <t>SÖDERMANLANDS LÄN</t>
        </is>
      </c>
      <c r="G118" t="inlineStr">
        <is>
          <t>GNESTA</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22166-2024</t>
        </is>
      </c>
      <c r="B119" t="inlineStr">
        <is>
          <t>avverkningsanmälan</t>
        </is>
      </c>
      <c r="C119" t="inlineStr">
        <is>
          <t>Föryngringsavverkning</t>
        </is>
      </c>
      <c r="D119" s="1" t="n">
        <v>45446</v>
      </c>
      <c r="E119" s="1" t="n">
        <v>46223</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s="2" t="inlineStr"/>
    </row>
    <row r="120" ht="15" customHeight="1">
      <c r="A120" t="inlineStr">
        <is>
          <t>A 34615-2023</t>
        </is>
      </c>
      <c r="B120" t="inlineStr">
        <is>
          <t>avverkningsanmälan</t>
        </is>
      </c>
      <c r="C120" t="inlineStr">
        <is>
          <t>Föryngringsavverkning</t>
        </is>
      </c>
      <c r="D120" s="1" t="n">
        <v>45140</v>
      </c>
      <c r="E120" s="1" t="n">
        <v>46223</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56720-2023</t>
        </is>
      </c>
      <c r="B121" t="inlineStr">
        <is>
          <t>avverkningsanmälan</t>
        </is>
      </c>
      <c r="C121" t="inlineStr">
        <is>
          <t>Föryngringsavverkning</t>
        </is>
      </c>
      <c r="D121" s="1" t="n">
        <v>45238</v>
      </c>
      <c r="E121" s="1" t="n">
        <v>46223</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63-2024</t>
        </is>
      </c>
      <c r="B122" t="inlineStr">
        <is>
          <t>avverkningsanmälan</t>
        </is>
      </c>
      <c r="C122" t="inlineStr">
        <is>
          <t>Föryngringsavverkning</t>
        </is>
      </c>
      <c r="D122" s="1" t="n">
        <v>45293</v>
      </c>
      <c r="E122" s="1" t="n">
        <v>46223</v>
      </c>
      <c r="F122" t="inlineStr">
        <is>
          <t>SÖDERMANLANDS LÄN</t>
        </is>
      </c>
      <c r="G122" t="inlineStr">
        <is>
          <t>GNESTA</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73063-2021</t>
        </is>
      </c>
      <c r="B123" t="inlineStr">
        <is>
          <t>avverkningsanmälan</t>
        </is>
      </c>
      <c r="C123" t="inlineStr">
        <is>
          <t>Föryngringsavverkning</t>
        </is>
      </c>
      <c r="D123" s="1" t="n">
        <v>44546</v>
      </c>
      <c r="E123" s="1" t="n">
        <v>46223</v>
      </c>
      <c r="F123" t="inlineStr">
        <is>
          <t>SÖDERMANLANDS LÄN</t>
        </is>
      </c>
      <c r="G123" t="inlineStr">
        <is>
          <t>GNESTA</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1216-2022</t>
        </is>
      </c>
      <c r="B124" t="inlineStr">
        <is>
          <t>avverkningsanmälan</t>
        </is>
      </c>
      <c r="C124" t="inlineStr">
        <is>
          <t>Föryngringsavverkning</t>
        </is>
      </c>
      <c r="D124" s="1" t="n">
        <v>44572</v>
      </c>
      <c r="E124" s="1" t="n">
        <v>46223</v>
      </c>
      <c r="F124" t="inlineStr">
        <is>
          <t>SÖDERMANLANDS LÄN</t>
        </is>
      </c>
      <c r="G124" t="inlineStr">
        <is>
          <t>GNESTA</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6228-2024</t>
        </is>
      </c>
      <c r="B125" t="inlineStr">
        <is>
          <t>avverkningsanmälan</t>
        </is>
      </c>
      <c r="C125" t="inlineStr">
        <is>
          <t>Föryngringsavverkning</t>
        </is>
      </c>
      <c r="D125" s="1" t="n">
        <v>45337</v>
      </c>
      <c r="E125" s="1" t="n">
        <v>46223</v>
      </c>
      <c r="F125" t="inlineStr">
        <is>
          <t>SÖDERMANLANDS LÄN</t>
        </is>
      </c>
      <c r="G125" t="inlineStr">
        <is>
          <t>GNESTA</t>
        </is>
      </c>
      <c r="I125" t="n">
        <v>10.4</v>
      </c>
      <c r="J125" t="n">
        <v>0</v>
      </c>
      <c r="K125" t="n">
        <v>0</v>
      </c>
      <c r="L125" t="n">
        <v>0</v>
      </c>
      <c r="M125" t="n">
        <v>0</v>
      </c>
      <c r="N125" t="n">
        <v>0</v>
      </c>
      <c r="O125" t="n">
        <v>0</v>
      </c>
      <c r="P125" t="n">
        <v>0</v>
      </c>
      <c r="Q125" t="n">
        <v>0</v>
      </c>
      <c r="R125" t="n">
        <v>0</v>
      </c>
      <c r="S125" t="n">
        <v>0</v>
      </c>
      <c r="T125" t="n">
        <v>0</v>
      </c>
      <c r="U125" s="2" t="inlineStr"/>
    </row>
    <row r="126" ht="15" customHeight="1">
      <c r="A126" t="inlineStr">
        <is>
          <t>A 29987-2024</t>
        </is>
      </c>
      <c r="B126" t="inlineStr">
        <is>
          <t>avverkningsanmälan</t>
        </is>
      </c>
      <c r="C126" t="inlineStr">
        <is>
          <t>Föryngringsavverkning</t>
        </is>
      </c>
      <c r="D126" s="1" t="n">
        <v>45488</v>
      </c>
      <c r="E126" s="1" t="n">
        <v>46223</v>
      </c>
      <c r="F126" t="inlineStr">
        <is>
          <t>SÖDERMANLANDS LÄN</t>
        </is>
      </c>
      <c r="G126" t="inlineStr">
        <is>
          <t>GNESTA</t>
        </is>
      </c>
      <c r="I126" t="n">
        <v>7.2</v>
      </c>
      <c r="J126" t="n">
        <v>0</v>
      </c>
      <c r="K126" t="n">
        <v>0</v>
      </c>
      <c r="L126" t="n">
        <v>0</v>
      </c>
      <c r="M126" t="n">
        <v>0</v>
      </c>
      <c r="N126" t="n">
        <v>0</v>
      </c>
      <c r="O126" t="n">
        <v>0</v>
      </c>
      <c r="P126" t="n">
        <v>0</v>
      </c>
      <c r="Q126" t="n">
        <v>0</v>
      </c>
      <c r="R126" t="n">
        <v>0</v>
      </c>
      <c r="S126" t="n">
        <v>0</v>
      </c>
      <c r="T126" t="n">
        <v>0</v>
      </c>
      <c r="U126" s="2" t="inlineStr"/>
    </row>
    <row r="127" ht="15" customHeight="1">
      <c r="A127" t="inlineStr">
        <is>
          <t>A 11726-2023</t>
        </is>
      </c>
      <c r="B127" t="inlineStr">
        <is>
          <t>avverkningsanmälan</t>
        </is>
      </c>
      <c r="C127" t="inlineStr">
        <is>
          <t>Föryngringsavverkning</t>
        </is>
      </c>
      <c r="D127" s="1" t="n">
        <v>44994</v>
      </c>
      <c r="E127" s="1" t="n">
        <v>46223</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s="2" t="inlineStr"/>
    </row>
    <row r="128" ht="15" customHeight="1">
      <c r="A128" t="inlineStr">
        <is>
          <t>A 25976-2024</t>
        </is>
      </c>
      <c r="B128" t="inlineStr">
        <is>
          <t>avverkningsanmälan</t>
        </is>
      </c>
      <c r="C128" t="inlineStr">
        <is>
          <t>Avverkning för att bevara och utveckla /försöksver</t>
        </is>
      </c>
      <c r="D128" s="1" t="n">
        <v>45467</v>
      </c>
      <c r="E128" s="1" t="n">
        <v>46223</v>
      </c>
      <c r="F128" t="inlineStr">
        <is>
          <t>SÖDERMANLANDS LÄN</t>
        </is>
      </c>
      <c r="G128" t="inlineStr">
        <is>
          <t>GNESTA</t>
        </is>
      </c>
      <c r="I128" t="n">
        <v>5.6</v>
      </c>
      <c r="J128" t="n">
        <v>0</v>
      </c>
      <c r="K128" t="n">
        <v>0</v>
      </c>
      <c r="L128" t="n">
        <v>0</v>
      </c>
      <c r="M128" t="n">
        <v>0</v>
      </c>
      <c r="N128" t="n">
        <v>0</v>
      </c>
      <c r="O128" t="n">
        <v>0</v>
      </c>
      <c r="P128" t="n">
        <v>0</v>
      </c>
      <c r="Q128" t="n">
        <v>0</v>
      </c>
      <c r="R128" t="n">
        <v>0</v>
      </c>
      <c r="S128" t="n">
        <v>0</v>
      </c>
      <c r="T128" t="n">
        <v>0</v>
      </c>
      <c r="U128" s="2" t="inlineStr"/>
    </row>
    <row r="129" ht="15" customHeight="1">
      <c r="A129" t="inlineStr">
        <is>
          <t>A 56799-2021</t>
        </is>
      </c>
      <c r="B129" t="inlineStr">
        <is>
          <t>avverkningsanmälan</t>
        </is>
      </c>
      <c r="C129" t="inlineStr">
        <is>
          <t>Föryngringsavverkning</t>
        </is>
      </c>
      <c r="D129" s="1" t="n">
        <v>44481</v>
      </c>
      <c r="E129" s="1" t="n">
        <v>46223</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6086-2022</t>
        </is>
      </c>
      <c r="B130" t="inlineStr">
        <is>
          <t>avverkningsanmälan</t>
        </is>
      </c>
      <c r="C130" t="inlineStr">
        <is>
          <t>Föryngringsavverkning</t>
        </is>
      </c>
      <c r="D130" s="1" t="n">
        <v>44599</v>
      </c>
      <c r="E130" s="1" t="n">
        <v>46223</v>
      </c>
      <c r="F130" t="inlineStr">
        <is>
          <t>SÖDERMANLANDS LÄN</t>
        </is>
      </c>
      <c r="G130" t="inlineStr">
        <is>
          <t>GNESTA</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6160-2022</t>
        </is>
      </c>
      <c r="B131" t="inlineStr">
        <is>
          <t>avverkningsanmälan</t>
        </is>
      </c>
      <c r="C131" t="inlineStr">
        <is>
          <t>Avverkning för annat ändamål</t>
        </is>
      </c>
      <c r="D131" s="1" t="n">
        <v>44599</v>
      </c>
      <c r="E131" s="1" t="n">
        <v>46223</v>
      </c>
      <c r="F131" t="inlineStr">
        <is>
          <t>SÖDERMANLANDS LÄN</t>
        </is>
      </c>
      <c r="G131" t="inlineStr">
        <is>
          <t>GNESTA</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72341-2021</t>
        </is>
      </c>
      <c r="B132" t="inlineStr">
        <is>
          <t>avverkningsanmälan</t>
        </is>
      </c>
      <c r="C132" t="inlineStr">
        <is>
          <t>Föryngringsavverkning</t>
        </is>
      </c>
      <c r="D132" s="1" t="n">
        <v>44545</v>
      </c>
      <c r="E132" s="1" t="n">
        <v>46223</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8995-2024</t>
        </is>
      </c>
      <c r="B133" t="inlineStr">
        <is>
          <t>avverkningsanmälan</t>
        </is>
      </c>
      <c r="C133" t="inlineStr">
        <is>
          <t>Föryngringsavverkning</t>
        </is>
      </c>
      <c r="D133" s="1" t="n">
        <v>45357</v>
      </c>
      <c r="E133" s="1" t="n">
        <v>46223</v>
      </c>
      <c r="F133" t="inlineStr">
        <is>
          <t>SÖDERMANLANDS LÄN</t>
        </is>
      </c>
      <c r="G133" t="inlineStr">
        <is>
          <t>GNESTA</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20033-2022</t>
        </is>
      </c>
      <c r="B134" t="inlineStr">
        <is>
          <t>avverkningsanmälan</t>
        </is>
      </c>
      <c r="C134" t="inlineStr">
        <is>
          <t>Föryngringsavverkning</t>
        </is>
      </c>
      <c r="D134" s="1" t="n">
        <v>44697</v>
      </c>
      <c r="E134" s="1" t="n">
        <v>46223</v>
      </c>
      <c r="F134" t="inlineStr">
        <is>
          <t>SÖDERMANLANDS LÄN</t>
        </is>
      </c>
      <c r="G134" t="inlineStr">
        <is>
          <t>GNESTA</t>
        </is>
      </c>
      <c r="I134" t="n">
        <v>11.9</v>
      </c>
      <c r="J134" t="n">
        <v>0</v>
      </c>
      <c r="K134" t="n">
        <v>0</v>
      </c>
      <c r="L134" t="n">
        <v>0</v>
      </c>
      <c r="M134" t="n">
        <v>0</v>
      </c>
      <c r="N134" t="n">
        <v>0</v>
      </c>
      <c r="O134" t="n">
        <v>0</v>
      </c>
      <c r="P134" t="n">
        <v>0</v>
      </c>
      <c r="Q134" t="n">
        <v>0</v>
      </c>
      <c r="R134" t="n">
        <v>0</v>
      </c>
      <c r="S134" t="n">
        <v>0</v>
      </c>
      <c r="T134" t="n">
        <v>0</v>
      </c>
      <c r="U134" s="2" t="inlineStr"/>
    </row>
    <row r="135" ht="15" customHeight="1">
      <c r="A135" t="inlineStr">
        <is>
          <t>A 11929-2022</t>
        </is>
      </c>
      <c r="B135" t="inlineStr">
        <is>
          <t>avverkningsanmälan</t>
        </is>
      </c>
      <c r="C135" t="inlineStr">
        <is>
          <t>Föryngringsavverkning</t>
        </is>
      </c>
      <c r="D135" s="1" t="n">
        <v>44635</v>
      </c>
      <c r="E135" s="1" t="n">
        <v>46223</v>
      </c>
      <c r="F135" t="inlineStr">
        <is>
          <t>SÖDERMANLANDS LÄN</t>
        </is>
      </c>
      <c r="G135" t="inlineStr">
        <is>
          <t>GNESTA</t>
        </is>
      </c>
      <c r="I135" t="n">
        <v>6.8</v>
      </c>
      <c r="J135" t="n">
        <v>0</v>
      </c>
      <c r="K135" t="n">
        <v>0</v>
      </c>
      <c r="L135" t="n">
        <v>0</v>
      </c>
      <c r="M135" t="n">
        <v>0</v>
      </c>
      <c r="N135" t="n">
        <v>0</v>
      </c>
      <c r="O135" t="n">
        <v>0</v>
      </c>
      <c r="P135" t="n">
        <v>0</v>
      </c>
      <c r="Q135" t="n">
        <v>0</v>
      </c>
      <c r="R135" t="n">
        <v>0</v>
      </c>
      <c r="S135" t="n">
        <v>0</v>
      </c>
      <c r="T135" t="n">
        <v>0</v>
      </c>
      <c r="U135" s="2" t="inlineStr"/>
    </row>
    <row r="136" ht="15" customHeight="1">
      <c r="A136" t="inlineStr">
        <is>
          <t>A 58205-2022</t>
        </is>
      </c>
      <c r="B136" t="inlineStr">
        <is>
          <t>avverkningsanmälan</t>
        </is>
      </c>
      <c r="C136" t="inlineStr">
        <is>
          <t>Föryngringsavverkning</t>
        </is>
      </c>
      <c r="D136" s="1" t="n">
        <v>44901</v>
      </c>
      <c r="E136" s="1" t="n">
        <v>46223</v>
      </c>
      <c r="F136" t="inlineStr">
        <is>
          <t>SÖDERMANLANDS LÄN</t>
        </is>
      </c>
      <c r="G136" t="inlineStr">
        <is>
          <t>GNESTA</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62912-2023</t>
        </is>
      </c>
      <c r="B137" t="inlineStr">
        <is>
          <t>avverkningsanmälan</t>
        </is>
      </c>
      <c r="C137" t="inlineStr">
        <is>
          <t>Föryngringsavverkning</t>
        </is>
      </c>
      <c r="D137" s="1" t="n">
        <v>45272</v>
      </c>
      <c r="E137" s="1" t="n">
        <v>46223</v>
      </c>
      <c r="F137" t="inlineStr">
        <is>
          <t>SÖDERMANLANDS LÄN</t>
        </is>
      </c>
      <c r="G137" t="inlineStr">
        <is>
          <t>GNESTA</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27141-2025</t>
        </is>
      </c>
      <c r="B138" t="inlineStr">
        <is>
          <t>avverkningsanmälan</t>
        </is>
      </c>
      <c r="C138" t="inlineStr">
        <is>
          <t>Föryngringsavverkning</t>
        </is>
      </c>
      <c r="D138" s="1" t="n">
        <v>45812</v>
      </c>
      <c r="E138" s="1" t="n">
        <v>46223</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38155-2025</t>
        </is>
      </c>
      <c r="B139" t="inlineStr">
        <is>
          <t>avverkningsanmälan</t>
        </is>
      </c>
      <c r="C139" t="inlineStr">
        <is>
          <t>Föryngringsavverkning</t>
        </is>
      </c>
      <c r="D139" s="1" t="n">
        <v>45882</v>
      </c>
      <c r="E139" s="1" t="n">
        <v>46223</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41728-2021</t>
        </is>
      </c>
      <c r="B140" t="inlineStr">
        <is>
          <t>avverkningsanmälan</t>
        </is>
      </c>
      <c r="C140" t="inlineStr">
        <is>
          <t>Föryngringsavverkning</t>
        </is>
      </c>
      <c r="D140" s="1" t="n">
        <v>44425</v>
      </c>
      <c r="E140" s="1" t="n">
        <v>46223</v>
      </c>
      <c r="F140" t="inlineStr">
        <is>
          <t>SÖDERMANLANDS LÄN</t>
        </is>
      </c>
      <c r="G140" t="inlineStr">
        <is>
          <t>GNESTA</t>
        </is>
      </c>
      <c r="I140" t="n">
        <v>8.1</v>
      </c>
      <c r="J140" t="n">
        <v>0</v>
      </c>
      <c r="K140" t="n">
        <v>0</v>
      </c>
      <c r="L140" t="n">
        <v>0</v>
      </c>
      <c r="M140" t="n">
        <v>0</v>
      </c>
      <c r="N140" t="n">
        <v>0</v>
      </c>
      <c r="O140" t="n">
        <v>0</v>
      </c>
      <c r="P140" t="n">
        <v>0</v>
      </c>
      <c r="Q140" t="n">
        <v>0</v>
      </c>
      <c r="R140" t="n">
        <v>0</v>
      </c>
      <c r="S140" t="n">
        <v>0</v>
      </c>
      <c r="T140" t="n">
        <v>0</v>
      </c>
      <c r="U140" s="2" t="inlineStr"/>
    </row>
    <row r="141" ht="15" customHeight="1">
      <c r="A141" t="inlineStr">
        <is>
          <t>A 51747-2023</t>
        </is>
      </c>
      <c r="B141" t="inlineStr">
        <is>
          <t>avverkningsanmälan</t>
        </is>
      </c>
      <c r="C141" t="inlineStr">
        <is>
          <t>Föryngringsavverkning</t>
        </is>
      </c>
      <c r="D141" s="1" t="n">
        <v>45222</v>
      </c>
      <c r="E141" s="1" t="n">
        <v>46223</v>
      </c>
      <c r="F141" t="inlineStr">
        <is>
          <t>SÖDERMANLANDS LÄN</t>
        </is>
      </c>
      <c r="G141" t="inlineStr">
        <is>
          <t>GNESTA</t>
        </is>
      </c>
      <c r="H141" t="inlineStr">
        <is>
          <t>Holmen skog AB</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44331-2024</t>
        </is>
      </c>
      <c r="B142" t="inlineStr">
        <is>
          <t>avverkningsanmälan</t>
        </is>
      </c>
      <c r="C142" t="inlineStr">
        <is>
          <t>Föryngringsavverkning</t>
        </is>
      </c>
      <c r="D142" s="1" t="n">
        <v>45573</v>
      </c>
      <c r="E142" s="1" t="n">
        <v>46223</v>
      </c>
      <c r="F142" t="inlineStr">
        <is>
          <t>SÖDERMANLANDS LÄN</t>
        </is>
      </c>
      <c r="G142" t="inlineStr">
        <is>
          <t>GNESTA</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7644-2023</t>
        </is>
      </c>
      <c r="B143" t="inlineStr">
        <is>
          <t>avverkningsanmälan</t>
        </is>
      </c>
      <c r="C143" t="inlineStr">
        <is>
          <t>Föryngringsavverkning</t>
        </is>
      </c>
      <c r="D143" s="1" t="n">
        <v>44972</v>
      </c>
      <c r="E143" s="1" t="n">
        <v>46223</v>
      </c>
      <c r="F143" t="inlineStr">
        <is>
          <t>SÖDERMANLANDS LÄN</t>
        </is>
      </c>
      <c r="G143" t="inlineStr">
        <is>
          <t>GNESTA</t>
        </is>
      </c>
      <c r="I143" t="n">
        <v>2.3</v>
      </c>
      <c r="J143" t="n">
        <v>0</v>
      </c>
      <c r="K143" t="n">
        <v>0</v>
      </c>
      <c r="L143" t="n">
        <v>0</v>
      </c>
      <c r="M143" t="n">
        <v>0</v>
      </c>
      <c r="N143" t="n">
        <v>0</v>
      </c>
      <c r="O143" t="n">
        <v>0</v>
      </c>
      <c r="P143" t="n">
        <v>0</v>
      </c>
      <c r="Q143" t="n">
        <v>0</v>
      </c>
      <c r="R143" t="n">
        <v>0</v>
      </c>
      <c r="S143" t="n">
        <v>0</v>
      </c>
      <c r="T143" t="n">
        <v>0</v>
      </c>
      <c r="U143" s="2" t="inlineStr"/>
    </row>
    <row r="144" ht="15" customHeight="1">
      <c r="A144" t="inlineStr">
        <is>
          <t>A 39964-2025</t>
        </is>
      </c>
      <c r="B144" t="inlineStr">
        <is>
          <t>avverkningsanmälan</t>
        </is>
      </c>
      <c r="C144" t="inlineStr">
        <is>
          <t>Föryngringsavverkning</t>
        </is>
      </c>
      <c r="D144" s="1" t="n">
        <v>45892</v>
      </c>
      <c r="E144" s="1" t="n">
        <v>46223</v>
      </c>
      <c r="F144" t="inlineStr">
        <is>
          <t>SÖDERMANLANDS LÄN</t>
        </is>
      </c>
      <c r="G144" t="inlineStr">
        <is>
          <t>GNESTA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29986-2024</t>
        </is>
      </c>
      <c r="B145" t="inlineStr">
        <is>
          <t>avverkningsanmälan</t>
        </is>
      </c>
      <c r="C145" t="inlineStr">
        <is>
          <t>Föryngringsavverkning</t>
        </is>
      </c>
      <c r="D145" s="1" t="n">
        <v>45488</v>
      </c>
      <c r="E145" s="1" t="n">
        <v>46223</v>
      </c>
      <c r="F145" t="inlineStr">
        <is>
          <t>SÖDERMANLANDS LÄN</t>
        </is>
      </c>
      <c r="G145" t="inlineStr">
        <is>
          <t>GNESTA</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62981-2023</t>
        </is>
      </c>
      <c r="B146" t="inlineStr">
        <is>
          <t>avverkningsanmälan</t>
        </is>
      </c>
      <c r="C146" t="inlineStr">
        <is>
          <t>Föryngringsavverkning</t>
        </is>
      </c>
      <c r="D146" s="1" t="n">
        <v>45272</v>
      </c>
      <c r="E146" s="1" t="n">
        <v>46223</v>
      </c>
      <c r="F146" t="inlineStr">
        <is>
          <t>SÖDERMANLANDS LÄN</t>
        </is>
      </c>
      <c r="G146" t="inlineStr">
        <is>
          <t>GNESTA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21172-2023</t>
        </is>
      </c>
      <c r="B147" t="inlineStr">
        <is>
          <t>avverkningsanmälan</t>
        </is>
      </c>
      <c r="C147" t="inlineStr">
        <is>
          <t>Avverkning för annat ändamål</t>
        </is>
      </c>
      <c r="D147" s="1" t="n">
        <v>45062</v>
      </c>
      <c r="E147" s="1" t="n">
        <v>46223</v>
      </c>
      <c r="F147" t="inlineStr">
        <is>
          <t>SÖDERMANLANDS LÄN</t>
        </is>
      </c>
      <c r="G147" t="inlineStr">
        <is>
          <t>GNESTA</t>
        </is>
      </c>
      <c r="H147" t="inlineStr">
        <is>
          <t>Övriga Aktiebolag</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44381-2024</t>
        </is>
      </c>
      <c r="B148" t="inlineStr">
        <is>
          <t>avverkningsanmälan</t>
        </is>
      </c>
      <c r="C148" t="inlineStr">
        <is>
          <t>Föryngringsavverkning</t>
        </is>
      </c>
      <c r="D148" s="1" t="n">
        <v>45573</v>
      </c>
      <c r="E148" s="1" t="n">
        <v>46223</v>
      </c>
      <c r="F148" t="inlineStr">
        <is>
          <t>SÖDERMANLANDS LÄN</t>
        </is>
      </c>
      <c r="G148" t="inlineStr">
        <is>
          <t>GNESTA</t>
        </is>
      </c>
      <c r="I148" t="n">
        <v>6.3</v>
      </c>
      <c r="J148" t="n">
        <v>0</v>
      </c>
      <c r="K148" t="n">
        <v>0</v>
      </c>
      <c r="L148" t="n">
        <v>0</v>
      </c>
      <c r="M148" t="n">
        <v>0</v>
      </c>
      <c r="N148" t="n">
        <v>0</v>
      </c>
      <c r="O148" t="n">
        <v>0</v>
      </c>
      <c r="P148" t="n">
        <v>0</v>
      </c>
      <c r="Q148" t="n">
        <v>0</v>
      </c>
      <c r="R148" t="n">
        <v>0</v>
      </c>
      <c r="S148" t="n">
        <v>0</v>
      </c>
      <c r="T148" t="n">
        <v>0</v>
      </c>
      <c r="U148" s="2" t="inlineStr"/>
    </row>
    <row r="149" ht="15" customHeight="1">
      <c r="A149" t="inlineStr">
        <is>
          <t>A 61896-2022</t>
        </is>
      </c>
      <c r="B149" t="inlineStr">
        <is>
          <t>avverkningsanmälan</t>
        </is>
      </c>
      <c r="C149" t="inlineStr">
        <is>
          <t>Föryngringsavverkning</t>
        </is>
      </c>
      <c r="D149" s="1" t="n">
        <v>44917</v>
      </c>
      <c r="E149" s="1" t="n">
        <v>46223</v>
      </c>
      <c r="F149" t="inlineStr">
        <is>
          <t>SÖDERMANLANDS LÄN</t>
        </is>
      </c>
      <c r="G149" t="inlineStr">
        <is>
          <t>GNESTA</t>
        </is>
      </c>
      <c r="H149" t="inlineStr">
        <is>
          <t>Kommuner</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37282-2021</t>
        </is>
      </c>
      <c r="B150" t="inlineStr">
        <is>
          <t>avverkningsanmälan</t>
        </is>
      </c>
      <c r="C150" t="inlineStr">
        <is>
          <t>Föryngringsavverkning</t>
        </is>
      </c>
      <c r="D150" s="1" t="n">
        <v>44397</v>
      </c>
      <c r="E150" s="1" t="n">
        <v>46223</v>
      </c>
      <c r="F150" t="inlineStr">
        <is>
          <t>SÖDERMANLANDS LÄN</t>
        </is>
      </c>
      <c r="G150" t="inlineStr">
        <is>
          <t>GNESTA</t>
        </is>
      </c>
      <c r="I150" t="n">
        <v>10</v>
      </c>
      <c r="J150" t="n">
        <v>0</v>
      </c>
      <c r="K150" t="n">
        <v>0</v>
      </c>
      <c r="L150" t="n">
        <v>0</v>
      </c>
      <c r="M150" t="n">
        <v>0</v>
      </c>
      <c r="N150" t="n">
        <v>0</v>
      </c>
      <c r="O150" t="n">
        <v>0</v>
      </c>
      <c r="P150" t="n">
        <v>0</v>
      </c>
      <c r="Q150" t="n">
        <v>0</v>
      </c>
      <c r="R150" t="n">
        <v>0</v>
      </c>
      <c r="S150" t="n">
        <v>0</v>
      </c>
      <c r="T150" t="n">
        <v>0</v>
      </c>
      <c r="U150" s="2" t="inlineStr"/>
    </row>
    <row r="151" ht="15" customHeight="1">
      <c r="A151" t="inlineStr">
        <is>
          <t>A 5509-2026</t>
        </is>
      </c>
      <c r="B151" t="inlineStr">
        <is>
          <t>avverkningsanmälan</t>
        </is>
      </c>
      <c r="C151" t="inlineStr">
        <is>
          <t>Föryngringsavverkning</t>
        </is>
      </c>
      <c r="D151" s="1" t="n">
        <v>46050</v>
      </c>
      <c r="E151" s="1" t="n">
        <v>46223</v>
      </c>
      <c r="F151" t="inlineStr">
        <is>
          <t>SÖDERMANLANDS LÄN</t>
        </is>
      </c>
      <c r="G151" t="inlineStr">
        <is>
          <t>GNESTA</t>
        </is>
      </c>
      <c r="I151" t="n">
        <v>3.5</v>
      </c>
      <c r="J151" t="n">
        <v>0</v>
      </c>
      <c r="K151" t="n">
        <v>0</v>
      </c>
      <c r="L151" t="n">
        <v>0</v>
      </c>
      <c r="M151" t="n">
        <v>0</v>
      </c>
      <c r="N151" t="n">
        <v>0</v>
      </c>
      <c r="O151" t="n">
        <v>0</v>
      </c>
      <c r="P151" t="n">
        <v>0</v>
      </c>
      <c r="Q151" t="n">
        <v>0</v>
      </c>
      <c r="R151" t="n">
        <v>0</v>
      </c>
      <c r="S151" t="n">
        <v>0</v>
      </c>
      <c r="T151" t="n">
        <v>0</v>
      </c>
      <c r="U151" s="2" t="inlineStr"/>
    </row>
    <row r="152" ht="15" customHeight="1">
      <c r="A152" t="inlineStr">
        <is>
          <t>A 22667-2023</t>
        </is>
      </c>
      <c r="B152" t="inlineStr">
        <is>
          <t>avverkningsanmälan</t>
        </is>
      </c>
      <c r="C152" t="inlineStr">
        <is>
          <t>Föryngringsavverkning</t>
        </is>
      </c>
      <c r="D152" s="1" t="n">
        <v>45071</v>
      </c>
      <c r="E152" s="1" t="n">
        <v>46223</v>
      </c>
      <c r="F152" t="inlineStr">
        <is>
          <t>SÖDERMANLANDS LÄN</t>
        </is>
      </c>
      <c r="G152" t="inlineStr">
        <is>
          <t>GNESTA</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56732-2023</t>
        </is>
      </c>
      <c r="B153" t="inlineStr">
        <is>
          <t>avverkningsanmälan</t>
        </is>
      </c>
      <c r="C153" t="inlineStr">
        <is>
          <t>Föryngringsavverkning</t>
        </is>
      </c>
      <c r="D153" s="1" t="n">
        <v>45238</v>
      </c>
      <c r="E153" s="1" t="n">
        <v>46223</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43263-2025</t>
        </is>
      </c>
      <c r="B154" t="inlineStr">
        <is>
          <t>avverkningsanmälan</t>
        </is>
      </c>
      <c r="C154" t="inlineStr">
        <is>
          <t>Föryngringsavverkning</t>
        </is>
      </c>
      <c r="D154" s="1" t="n">
        <v>45910</v>
      </c>
      <c r="E154" s="1" t="n">
        <v>46223</v>
      </c>
      <c r="F154" t="inlineStr">
        <is>
          <t>SÖDERMANLANDS LÄN</t>
        </is>
      </c>
      <c r="G154" t="inlineStr">
        <is>
          <t>GNESTA</t>
        </is>
      </c>
      <c r="I154" t="n">
        <v>4.8</v>
      </c>
      <c r="J154" t="n">
        <v>0</v>
      </c>
      <c r="K154" t="n">
        <v>0</v>
      </c>
      <c r="L154" t="n">
        <v>0</v>
      </c>
      <c r="M154" t="n">
        <v>0</v>
      </c>
      <c r="N154" t="n">
        <v>0</v>
      </c>
      <c r="O154" t="n">
        <v>0</v>
      </c>
      <c r="P154" t="n">
        <v>0</v>
      </c>
      <c r="Q154" t="n">
        <v>0</v>
      </c>
      <c r="R154" t="n">
        <v>0</v>
      </c>
      <c r="S154" t="n">
        <v>0</v>
      </c>
      <c r="T154" t="n">
        <v>0</v>
      </c>
      <c r="U154" s="2" t="inlineStr"/>
    </row>
    <row r="155" ht="15" customHeight="1">
      <c r="A155" t="inlineStr">
        <is>
          <t>A 62016-2022</t>
        </is>
      </c>
      <c r="B155" t="inlineStr">
        <is>
          <t>avverkningsanmälan</t>
        </is>
      </c>
      <c r="C155" t="inlineStr">
        <is>
          <t>Föryngringsavverkning</t>
        </is>
      </c>
      <c r="D155" s="1" t="n">
        <v>44918</v>
      </c>
      <c r="E155" s="1" t="n">
        <v>46223</v>
      </c>
      <c r="F155" t="inlineStr">
        <is>
          <t>SÖDERMANLANDS LÄN</t>
        </is>
      </c>
      <c r="G155" t="inlineStr">
        <is>
          <t>GNESTA</t>
        </is>
      </c>
      <c r="H155" t="inlineStr">
        <is>
          <t>Kommuner</t>
        </is>
      </c>
      <c r="I155" t="n">
        <v>3.6</v>
      </c>
      <c r="J155" t="n">
        <v>0</v>
      </c>
      <c r="K155" t="n">
        <v>0</v>
      </c>
      <c r="L155" t="n">
        <v>0</v>
      </c>
      <c r="M155" t="n">
        <v>0</v>
      </c>
      <c r="N155" t="n">
        <v>0</v>
      </c>
      <c r="O155" t="n">
        <v>0</v>
      </c>
      <c r="P155" t="n">
        <v>0</v>
      </c>
      <c r="Q155" t="n">
        <v>0</v>
      </c>
      <c r="R155" t="n">
        <v>0</v>
      </c>
      <c r="S155" t="n">
        <v>0</v>
      </c>
      <c r="T155" t="n">
        <v>0</v>
      </c>
      <c r="U155" s="2" t="inlineStr"/>
    </row>
    <row r="156" ht="15" customHeight="1">
      <c r="A156" t="inlineStr">
        <is>
          <t>A 25635-2023</t>
        </is>
      </c>
      <c r="B156" t="inlineStr">
        <is>
          <t>avverkningsanmälan</t>
        </is>
      </c>
      <c r="C156" t="inlineStr">
        <is>
          <t>Föryngringsavverkning</t>
        </is>
      </c>
      <c r="D156" s="1" t="n">
        <v>45089</v>
      </c>
      <c r="E156" s="1" t="n">
        <v>46223</v>
      </c>
      <c r="F156" t="inlineStr">
        <is>
          <t>SÖDERMANLANDS LÄN</t>
        </is>
      </c>
      <c r="G156" t="inlineStr">
        <is>
          <t>GNESTA</t>
        </is>
      </c>
      <c r="I156" t="n">
        <v>6.1</v>
      </c>
      <c r="J156" t="n">
        <v>0</v>
      </c>
      <c r="K156" t="n">
        <v>0</v>
      </c>
      <c r="L156" t="n">
        <v>0</v>
      </c>
      <c r="M156" t="n">
        <v>0</v>
      </c>
      <c r="N156" t="n">
        <v>0</v>
      </c>
      <c r="O156" t="n">
        <v>0</v>
      </c>
      <c r="P156" t="n">
        <v>0</v>
      </c>
      <c r="Q156" t="n">
        <v>0</v>
      </c>
      <c r="R156" t="n">
        <v>0</v>
      </c>
      <c r="S156" t="n">
        <v>0</v>
      </c>
      <c r="T156" t="n">
        <v>0</v>
      </c>
      <c r="U156" s="2" t="inlineStr"/>
    </row>
    <row r="157" ht="15" customHeight="1">
      <c r="A157" t="inlineStr">
        <is>
          <t>A 43533-2024</t>
        </is>
      </c>
      <c r="B157" t="inlineStr">
        <is>
          <t>avverkningsanmälan</t>
        </is>
      </c>
      <c r="C157" t="inlineStr">
        <is>
          <t>Föryngringsavverkning</t>
        </is>
      </c>
      <c r="D157" s="1" t="n">
        <v>45569</v>
      </c>
      <c r="E157" s="1" t="n">
        <v>46223</v>
      </c>
      <c r="F157" t="inlineStr">
        <is>
          <t>SÖDERMANLANDS LÄN</t>
        </is>
      </c>
      <c r="G157" t="inlineStr">
        <is>
          <t>GNESTA</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44272-2025</t>
        </is>
      </c>
      <c r="B158" t="inlineStr">
        <is>
          <t>avverkningsanmälan</t>
        </is>
      </c>
      <c r="C158" t="inlineStr">
        <is>
          <t>Föryngringsavverkning</t>
        </is>
      </c>
      <c r="D158" s="1" t="n">
        <v>45916</v>
      </c>
      <c r="E158" s="1" t="n">
        <v>46223</v>
      </c>
      <c r="F158" t="inlineStr">
        <is>
          <t>SÖDERMANLANDS LÄN</t>
        </is>
      </c>
      <c r="G158" t="inlineStr">
        <is>
          <t>GNESTA</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5822-2023</t>
        </is>
      </c>
      <c r="B159" t="inlineStr">
        <is>
          <t>avverkningsanmälan</t>
        </is>
      </c>
      <c r="C159" t="inlineStr">
        <is>
          <t>Föryngringsavverkning</t>
        </is>
      </c>
      <c r="D159" s="1" t="n">
        <v>44958</v>
      </c>
      <c r="E159" s="1" t="n">
        <v>46223</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34425-2023</t>
        </is>
      </c>
      <c r="B160" t="inlineStr">
        <is>
          <t>avverkningsanmälan</t>
        </is>
      </c>
      <c r="C160" t="inlineStr">
        <is>
          <t>Föryngringsavverkning</t>
        </is>
      </c>
      <c r="D160" s="1" t="n">
        <v>45133</v>
      </c>
      <c r="E160" s="1" t="n">
        <v>46223</v>
      </c>
      <c r="F160" t="inlineStr">
        <is>
          <t>SÖDERMANLANDS LÄN</t>
        </is>
      </c>
      <c r="G160" t="inlineStr">
        <is>
          <t>GNESTA</t>
        </is>
      </c>
      <c r="I160" t="n">
        <v>4.4</v>
      </c>
      <c r="J160" t="n">
        <v>0</v>
      </c>
      <c r="K160" t="n">
        <v>0</v>
      </c>
      <c r="L160" t="n">
        <v>0</v>
      </c>
      <c r="M160" t="n">
        <v>0</v>
      </c>
      <c r="N160" t="n">
        <v>0</v>
      </c>
      <c r="O160" t="n">
        <v>0</v>
      </c>
      <c r="P160" t="n">
        <v>0</v>
      </c>
      <c r="Q160" t="n">
        <v>0</v>
      </c>
      <c r="R160" t="n">
        <v>0</v>
      </c>
      <c r="S160" t="n">
        <v>0</v>
      </c>
      <c r="T160" t="n">
        <v>0</v>
      </c>
      <c r="U160" s="2" t="inlineStr"/>
    </row>
    <row r="161" ht="15" customHeight="1">
      <c r="A161" t="inlineStr">
        <is>
          <t>A 45515-2024</t>
        </is>
      </c>
      <c r="B161" t="inlineStr">
        <is>
          <t>avverkningsanmälan</t>
        </is>
      </c>
      <c r="C161" t="inlineStr">
        <is>
          <t>Föryngringsavverkning</t>
        </is>
      </c>
      <c r="D161" s="1" t="n">
        <v>45578</v>
      </c>
      <c r="E161" s="1" t="n">
        <v>46223</v>
      </c>
      <c r="F161" t="inlineStr">
        <is>
          <t>SÖDERMANLANDS LÄN</t>
        </is>
      </c>
      <c r="G161" t="inlineStr">
        <is>
          <t>GNESTA</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36162-2022</t>
        </is>
      </c>
      <c r="B162" t="inlineStr">
        <is>
          <t>avverkningsanmälan</t>
        </is>
      </c>
      <c r="C162" t="inlineStr">
        <is>
          <t>Föryngringsavverkning</t>
        </is>
      </c>
      <c r="D162" s="1" t="n">
        <v>44803</v>
      </c>
      <c r="E162" s="1" t="n">
        <v>46223</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34429-2023</t>
        </is>
      </c>
      <c r="B163" t="inlineStr">
        <is>
          <t>avverkningsanmälan</t>
        </is>
      </c>
      <c r="C163" t="inlineStr">
        <is>
          <t>Föryngringsavverkning</t>
        </is>
      </c>
      <c r="D163" s="1" t="n">
        <v>45133</v>
      </c>
      <c r="E163" s="1" t="n">
        <v>46223</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48738-2021</t>
        </is>
      </c>
      <c r="B164" t="inlineStr">
        <is>
          <t>avverkningsanmälan</t>
        </is>
      </c>
      <c r="C164" t="inlineStr">
        <is>
          <t>Föryngringsavverkning</t>
        </is>
      </c>
      <c r="D164" s="1" t="n">
        <v>44452</v>
      </c>
      <c r="E164" s="1" t="n">
        <v>46223</v>
      </c>
      <c r="F164" t="inlineStr">
        <is>
          <t>SÖDERMANLANDS LÄN</t>
        </is>
      </c>
      <c r="G164" t="inlineStr">
        <is>
          <t>GNESTA</t>
        </is>
      </c>
      <c r="H164" t="inlineStr">
        <is>
          <t>Kyrkan</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36843-2025</t>
        </is>
      </c>
      <c r="B165" t="inlineStr">
        <is>
          <t>avverkningsanmälan</t>
        </is>
      </c>
      <c r="C165" t="inlineStr">
        <is>
          <t>Föryngringsavverkning</t>
        </is>
      </c>
      <c r="D165" s="1" t="n">
        <v>45874</v>
      </c>
      <c r="E165" s="1" t="n">
        <v>46223</v>
      </c>
      <c r="F165" t="inlineStr">
        <is>
          <t>SÖDERMANLANDS LÄN</t>
        </is>
      </c>
      <c r="G165" t="inlineStr">
        <is>
          <t>GNESTA</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49332-2025</t>
        </is>
      </c>
      <c r="B166" t="inlineStr">
        <is>
          <t>avverkningsanmälan</t>
        </is>
      </c>
      <c r="C166" t="inlineStr">
        <is>
          <t>Föryngringsavverkning</t>
        </is>
      </c>
      <c r="D166" s="1" t="n">
        <v>45938</v>
      </c>
      <c r="E166" s="1" t="n">
        <v>46223</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61032-2024</t>
        </is>
      </c>
      <c r="B167" t="inlineStr">
        <is>
          <t>avverkningsanmälan</t>
        </is>
      </c>
      <c r="C167" t="inlineStr">
        <is>
          <t>Avverkning för annat ändamål</t>
        </is>
      </c>
      <c r="D167" s="1" t="n">
        <v>45644</v>
      </c>
      <c r="E167" s="1" t="n">
        <v>46223</v>
      </c>
      <c r="F167" t="inlineStr">
        <is>
          <t>SÖDERMANLANDS LÄN</t>
        </is>
      </c>
      <c r="G167" t="inlineStr">
        <is>
          <t>GNESTA</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37502-2025</t>
        </is>
      </c>
      <c r="B168" t="inlineStr">
        <is>
          <t>avverkningsanmälan</t>
        </is>
      </c>
      <c r="C168" t="inlineStr">
        <is>
          <t>Föryngringsavverkning</t>
        </is>
      </c>
      <c r="D168" s="1" t="n">
        <v>45877</v>
      </c>
      <c r="E168" s="1" t="n">
        <v>46223</v>
      </c>
      <c r="F168" t="inlineStr">
        <is>
          <t>SÖDERMANLANDS LÄN</t>
        </is>
      </c>
      <c r="G168" t="inlineStr">
        <is>
          <t>GNESTA</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20168-2025</t>
        </is>
      </c>
      <c r="B169" t="inlineStr">
        <is>
          <t>avverkningsanmälan</t>
        </is>
      </c>
      <c r="C169" t="inlineStr">
        <is>
          <t>Föryngringsavverkning</t>
        </is>
      </c>
      <c r="D169" s="1" t="n">
        <v>45772</v>
      </c>
      <c r="E169" s="1" t="n">
        <v>46223</v>
      </c>
      <c r="F169" t="inlineStr">
        <is>
          <t>SÖDERMANLANDS LÄN</t>
        </is>
      </c>
      <c r="G169" t="inlineStr">
        <is>
          <t>GNESTA</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67-2024</t>
        </is>
      </c>
      <c r="B170" t="inlineStr">
        <is>
          <t>avverkningsanmälan</t>
        </is>
      </c>
      <c r="C170" t="inlineStr">
        <is>
          <t>Föryngringsavverkning</t>
        </is>
      </c>
      <c r="D170" s="1" t="n">
        <v>45293</v>
      </c>
      <c r="E170" s="1" t="n">
        <v>46223</v>
      </c>
      <c r="F170" t="inlineStr">
        <is>
          <t>SÖDERMANLANDS LÄN</t>
        </is>
      </c>
      <c r="G170" t="inlineStr">
        <is>
          <t>GNESTA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37197-2025</t>
        </is>
      </c>
      <c r="B171" t="inlineStr">
        <is>
          <t>avverkningsanmälan</t>
        </is>
      </c>
      <c r="C171" t="inlineStr">
        <is>
          <t>Föryngringsavverkning</t>
        </is>
      </c>
      <c r="D171" s="1" t="n">
        <v>45875</v>
      </c>
      <c r="E171" s="1" t="n">
        <v>46223</v>
      </c>
      <c r="F171" t="inlineStr">
        <is>
          <t>SÖDERMANLANDS LÄN</t>
        </is>
      </c>
      <c r="G171" t="inlineStr">
        <is>
          <t>GNESTA</t>
        </is>
      </c>
      <c r="I171" t="n">
        <v>3.9</v>
      </c>
      <c r="J171" t="n">
        <v>0</v>
      </c>
      <c r="K171" t="n">
        <v>0</v>
      </c>
      <c r="L171" t="n">
        <v>0</v>
      </c>
      <c r="M171" t="n">
        <v>0</v>
      </c>
      <c r="N171" t="n">
        <v>0</v>
      </c>
      <c r="O171" t="n">
        <v>0</v>
      </c>
      <c r="P171" t="n">
        <v>0</v>
      </c>
      <c r="Q171" t="n">
        <v>0</v>
      </c>
      <c r="R171" t="n">
        <v>0</v>
      </c>
      <c r="S171" t="n">
        <v>0</v>
      </c>
      <c r="T171" t="n">
        <v>0</v>
      </c>
      <c r="U171" s="2" t="inlineStr"/>
    </row>
    <row r="172" ht="15" customHeight="1">
      <c r="A172" t="inlineStr">
        <is>
          <t>A 7745-2026</t>
        </is>
      </c>
      <c r="B172" t="inlineStr">
        <is>
          <t>avverkningsanmälan</t>
        </is>
      </c>
      <c r="C172" t="inlineStr">
        <is>
          <t>Föryngringsavverkning</t>
        </is>
      </c>
      <c r="D172" s="1" t="n">
        <v>46062</v>
      </c>
      <c r="E172" s="1" t="n">
        <v>46223</v>
      </c>
      <c r="F172" t="inlineStr">
        <is>
          <t>SÖDERMANLANDS LÄN</t>
        </is>
      </c>
      <c r="G172" t="inlineStr">
        <is>
          <t>GNESTA</t>
        </is>
      </c>
      <c r="H172" t="inlineStr">
        <is>
          <t>Allmännings- och besparingsskogar</t>
        </is>
      </c>
      <c r="I172" t="n">
        <v>8.300000000000001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7835-2026</t>
        </is>
      </c>
      <c r="B173" t="inlineStr">
        <is>
          <t>avverkningsanmälan</t>
        </is>
      </c>
      <c r="C173" t="inlineStr">
        <is>
          <t>Föryngringsavverkning</t>
        </is>
      </c>
      <c r="D173" s="1" t="n">
        <v>46062</v>
      </c>
      <c r="E173" s="1" t="n">
        <v>46223</v>
      </c>
      <c r="F173" t="inlineStr">
        <is>
          <t>SÖDERMANLANDS LÄN</t>
        </is>
      </c>
      <c r="G173" t="inlineStr">
        <is>
          <t>GNESTA</t>
        </is>
      </c>
      <c r="I173" t="n">
        <v>3.8</v>
      </c>
      <c r="J173" t="n">
        <v>0</v>
      </c>
      <c r="K173" t="n">
        <v>0</v>
      </c>
      <c r="L173" t="n">
        <v>0</v>
      </c>
      <c r="M173" t="n">
        <v>0</v>
      </c>
      <c r="N173" t="n">
        <v>0</v>
      </c>
      <c r="O173" t="n">
        <v>0</v>
      </c>
      <c r="P173" t="n">
        <v>0</v>
      </c>
      <c r="Q173" t="n">
        <v>0</v>
      </c>
      <c r="R173" t="n">
        <v>0</v>
      </c>
      <c r="S173" t="n">
        <v>0</v>
      </c>
      <c r="T173" t="n">
        <v>0</v>
      </c>
      <c r="U173" s="2" t="inlineStr"/>
    </row>
    <row r="174" ht="15" customHeight="1">
      <c r="A174" t="inlineStr">
        <is>
          <t>A 43076-2023</t>
        </is>
      </c>
      <c r="B174" t="inlineStr">
        <is>
          <t>avverkningsanmälan</t>
        </is>
      </c>
      <c r="C174" t="inlineStr">
        <is>
          <t>Föryngringsavverkning</t>
        </is>
      </c>
      <c r="D174" s="1" t="n">
        <v>45182</v>
      </c>
      <c r="E174" s="1" t="n">
        <v>46223</v>
      </c>
      <c r="F174" t="inlineStr">
        <is>
          <t>SÖDERMANLANDS LÄN</t>
        </is>
      </c>
      <c r="G174" t="inlineStr">
        <is>
          <t>GNESTA</t>
        </is>
      </c>
      <c r="I174" t="n">
        <v>18.2</v>
      </c>
      <c r="J174" t="n">
        <v>0</v>
      </c>
      <c r="K174" t="n">
        <v>0</v>
      </c>
      <c r="L174" t="n">
        <v>0</v>
      </c>
      <c r="M174" t="n">
        <v>0</v>
      </c>
      <c r="N174" t="n">
        <v>0</v>
      </c>
      <c r="O174" t="n">
        <v>0</v>
      </c>
      <c r="P174" t="n">
        <v>0</v>
      </c>
      <c r="Q174" t="n">
        <v>0</v>
      </c>
      <c r="R174" t="n">
        <v>0</v>
      </c>
      <c r="S174" t="n">
        <v>0</v>
      </c>
      <c r="T174" t="n">
        <v>0</v>
      </c>
      <c r="U174" s="2" t="inlineStr"/>
    </row>
    <row r="175" ht="15" customHeight="1">
      <c r="A175" t="inlineStr">
        <is>
          <t>A 13346-2023</t>
        </is>
      </c>
      <c r="B175" t="inlineStr">
        <is>
          <t>avverkningsanmälan</t>
        </is>
      </c>
      <c r="C175" t="inlineStr">
        <is>
          <t>Föryngringsavverkning</t>
        </is>
      </c>
      <c r="D175" s="1" t="n">
        <v>45005</v>
      </c>
      <c r="E175" s="1" t="n">
        <v>46223</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38894-2023</t>
        </is>
      </c>
      <c r="B176" t="inlineStr">
        <is>
          <t>avverkningsanmälan</t>
        </is>
      </c>
      <c r="C176" t="inlineStr">
        <is>
          <t>Föryngringsavverkning</t>
        </is>
      </c>
      <c r="D176" s="1" t="n">
        <v>45163</v>
      </c>
      <c r="E176" s="1" t="n">
        <v>46223</v>
      </c>
      <c r="F176" t="inlineStr">
        <is>
          <t>SÖDERMANLANDS LÄN</t>
        </is>
      </c>
      <c r="G176" t="inlineStr">
        <is>
          <t>GNESTA</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21854-2023</t>
        </is>
      </c>
      <c r="B177" t="inlineStr">
        <is>
          <t>avverkningsanmälan</t>
        </is>
      </c>
      <c r="C177" t="inlineStr">
        <is>
          <t>Föryngringsavverkning</t>
        </is>
      </c>
      <c r="D177" s="1" t="n">
        <v>45068</v>
      </c>
      <c r="E177" s="1" t="n">
        <v>46223</v>
      </c>
      <c r="F177" t="inlineStr">
        <is>
          <t>SÖDERMANLANDS LÄN</t>
        </is>
      </c>
      <c r="G177" t="inlineStr">
        <is>
          <t>GNESTA</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48304-2023</t>
        </is>
      </c>
      <c r="B178" t="inlineStr">
        <is>
          <t>avverkningsanmälan</t>
        </is>
      </c>
      <c r="C178" t="inlineStr">
        <is>
          <t>Föryngringsavverkning</t>
        </is>
      </c>
      <c r="D178" s="1" t="n">
        <v>45205</v>
      </c>
      <c r="E178" s="1" t="n">
        <v>46223</v>
      </c>
      <c r="F178" t="inlineStr">
        <is>
          <t>SÖDERMANLANDS LÄN</t>
        </is>
      </c>
      <c r="G178" t="inlineStr">
        <is>
          <t>GNESTA</t>
        </is>
      </c>
      <c r="H178" t="inlineStr">
        <is>
          <t>Holmen skog AB</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47013-2022</t>
        </is>
      </c>
      <c r="B179" t="inlineStr">
        <is>
          <t>avverkningsanmälan</t>
        </is>
      </c>
      <c r="C179" t="inlineStr">
        <is>
          <t>Föryngringsavverkning</t>
        </is>
      </c>
      <c r="D179" s="1" t="n">
        <v>44852</v>
      </c>
      <c r="E179" s="1" t="n">
        <v>46223</v>
      </c>
      <c r="F179" t="inlineStr">
        <is>
          <t>SÖDERMANLANDS LÄN</t>
        </is>
      </c>
      <c r="G179" t="inlineStr">
        <is>
          <t>GNESTA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14055-2023</t>
        </is>
      </c>
      <c r="B180" t="inlineStr">
        <is>
          <t>avverkningsanmälan</t>
        </is>
      </c>
      <c r="C180" t="inlineStr">
        <is>
          <t>Föryngringsavverkning</t>
        </is>
      </c>
      <c r="D180" s="1" t="n">
        <v>45008</v>
      </c>
      <c r="E180" s="1" t="n">
        <v>46223</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10011-2026</t>
        </is>
      </c>
      <c r="B181" t="inlineStr">
        <is>
          <t>avverkningsanmälan</t>
        </is>
      </c>
      <c r="C181" t="inlineStr">
        <is>
          <t>Föryngringsavverkning</t>
        </is>
      </c>
      <c r="D181" s="1" t="n">
        <v>46073</v>
      </c>
      <c r="E181" s="1" t="n">
        <v>46223</v>
      </c>
      <c r="F181" t="inlineStr">
        <is>
          <t>SÖDERMANLANDS LÄN</t>
        </is>
      </c>
      <c r="G181" t="inlineStr">
        <is>
          <t>GNESTA</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10017-2026</t>
        </is>
      </c>
      <c r="B182" t="inlineStr">
        <is>
          <t>avverkningsanmälan</t>
        </is>
      </c>
      <c r="C182" t="inlineStr">
        <is>
          <t>Föryngringsavverkning</t>
        </is>
      </c>
      <c r="D182" s="1" t="n">
        <v>46073</v>
      </c>
      <c r="E182" s="1" t="n">
        <v>46223</v>
      </c>
      <c r="F182" t="inlineStr">
        <is>
          <t>SÖDERMANLANDS LÄN</t>
        </is>
      </c>
      <c r="G182" t="inlineStr">
        <is>
          <t>GNESTA</t>
        </is>
      </c>
      <c r="I182" t="n">
        <v>5</v>
      </c>
      <c r="J182" t="n">
        <v>0</v>
      </c>
      <c r="K182" t="n">
        <v>0</v>
      </c>
      <c r="L182" t="n">
        <v>0</v>
      </c>
      <c r="M182" t="n">
        <v>0</v>
      </c>
      <c r="N182" t="n">
        <v>0</v>
      </c>
      <c r="O182" t="n">
        <v>0</v>
      </c>
      <c r="P182" t="n">
        <v>0</v>
      </c>
      <c r="Q182" t="n">
        <v>0</v>
      </c>
      <c r="R182" t="n">
        <v>0</v>
      </c>
      <c r="S182" t="n">
        <v>0</v>
      </c>
      <c r="T182" t="n">
        <v>0</v>
      </c>
      <c r="U182" s="2" t="inlineStr"/>
    </row>
    <row r="183" ht="15" customHeight="1">
      <c r="A183" t="inlineStr">
        <is>
          <t>A 10029-2026</t>
        </is>
      </c>
      <c r="B183" t="inlineStr">
        <is>
          <t>avverkningsanmälan</t>
        </is>
      </c>
      <c r="C183" t="inlineStr">
        <is>
          <t>Föryngringsavverkning</t>
        </is>
      </c>
      <c r="D183" s="1" t="n">
        <v>46073</v>
      </c>
      <c r="E183" s="1" t="n">
        <v>46223</v>
      </c>
      <c r="F183" t="inlineStr">
        <is>
          <t>SÖDERMANLANDS LÄN</t>
        </is>
      </c>
      <c r="G183" t="inlineStr">
        <is>
          <t>GNESTA</t>
        </is>
      </c>
      <c r="I183" t="n">
        <v>17.1</v>
      </c>
      <c r="J183" t="n">
        <v>0</v>
      </c>
      <c r="K183" t="n">
        <v>0</v>
      </c>
      <c r="L183" t="n">
        <v>0</v>
      </c>
      <c r="M183" t="n">
        <v>0</v>
      </c>
      <c r="N183" t="n">
        <v>0</v>
      </c>
      <c r="O183" t="n">
        <v>0</v>
      </c>
      <c r="P183" t="n">
        <v>0</v>
      </c>
      <c r="Q183" t="n">
        <v>0</v>
      </c>
      <c r="R183" t="n">
        <v>0</v>
      </c>
      <c r="S183" t="n">
        <v>0</v>
      </c>
      <c r="T183" t="n">
        <v>0</v>
      </c>
      <c r="U183" s="2" t="inlineStr"/>
    </row>
    <row r="184" ht="15" customHeight="1">
      <c r="A184" t="inlineStr">
        <is>
          <t>A 42428-2021</t>
        </is>
      </c>
      <c r="B184" t="inlineStr">
        <is>
          <t>avverkningsanmälan</t>
        </is>
      </c>
      <c r="C184" t="inlineStr">
        <is>
          <t>Föryngringsavverkning</t>
        </is>
      </c>
      <c r="D184" s="1" t="n">
        <v>44427</v>
      </c>
      <c r="E184" s="1" t="n">
        <v>46223</v>
      </c>
      <c r="F184" t="inlineStr">
        <is>
          <t>SÖDERMANLANDS LÄN</t>
        </is>
      </c>
      <c r="G184" t="inlineStr">
        <is>
          <t>GNESTA</t>
        </is>
      </c>
      <c r="I184" t="n">
        <v>9.1</v>
      </c>
      <c r="J184" t="n">
        <v>0</v>
      </c>
      <c r="K184" t="n">
        <v>0</v>
      </c>
      <c r="L184" t="n">
        <v>0</v>
      </c>
      <c r="M184" t="n">
        <v>0</v>
      </c>
      <c r="N184" t="n">
        <v>0</v>
      </c>
      <c r="O184" t="n">
        <v>0</v>
      </c>
      <c r="P184" t="n">
        <v>0</v>
      </c>
      <c r="Q184" t="n">
        <v>0</v>
      </c>
      <c r="R184" t="n">
        <v>0</v>
      </c>
      <c r="S184" t="n">
        <v>0</v>
      </c>
      <c r="T184" t="n">
        <v>0</v>
      </c>
      <c r="U184" s="2" t="inlineStr"/>
    </row>
    <row r="185" ht="15" customHeight="1">
      <c r="A185" t="inlineStr">
        <is>
          <t>A 10015-2026</t>
        </is>
      </c>
      <c r="B185" t="inlineStr">
        <is>
          <t>avverkningsanmälan</t>
        </is>
      </c>
      <c r="C185" t="inlineStr">
        <is>
          <t>Föryngringsavverkning</t>
        </is>
      </c>
      <c r="D185" s="1" t="n">
        <v>46073</v>
      </c>
      <c r="E185" s="1" t="n">
        <v>46223</v>
      </c>
      <c r="F185" t="inlineStr">
        <is>
          <t>SÖDERMANLANDS LÄN</t>
        </is>
      </c>
      <c r="G185" t="inlineStr">
        <is>
          <t>GNESTA</t>
        </is>
      </c>
      <c r="I185" t="n">
        <v>5.5</v>
      </c>
      <c r="J185" t="n">
        <v>0</v>
      </c>
      <c r="K185" t="n">
        <v>0</v>
      </c>
      <c r="L185" t="n">
        <v>0</v>
      </c>
      <c r="M185" t="n">
        <v>0</v>
      </c>
      <c r="N185" t="n">
        <v>0</v>
      </c>
      <c r="O185" t="n">
        <v>0</v>
      </c>
      <c r="P185" t="n">
        <v>0</v>
      </c>
      <c r="Q185" t="n">
        <v>0</v>
      </c>
      <c r="R185" t="n">
        <v>0</v>
      </c>
      <c r="S185" t="n">
        <v>0</v>
      </c>
      <c r="T185" t="n">
        <v>0</v>
      </c>
      <c r="U185" s="2" t="inlineStr"/>
    </row>
    <row r="186" ht="15" customHeight="1">
      <c r="A186" t="inlineStr">
        <is>
          <t>A 7777-2023</t>
        </is>
      </c>
      <c r="B186" t="inlineStr">
        <is>
          <t>avverkningsanmälan</t>
        </is>
      </c>
      <c r="C186" t="inlineStr">
        <is>
          <t>Föryngringsavverkning</t>
        </is>
      </c>
      <c r="D186" s="1" t="n">
        <v>44973</v>
      </c>
      <c r="E186" s="1" t="n">
        <v>46223</v>
      </c>
      <c r="F186" t="inlineStr">
        <is>
          <t>SÖDERMANLANDS LÄN</t>
        </is>
      </c>
      <c r="G186" t="inlineStr">
        <is>
          <t>GNESTA</t>
        </is>
      </c>
      <c r="I186" t="n">
        <v>5.4</v>
      </c>
      <c r="J186" t="n">
        <v>0</v>
      </c>
      <c r="K186" t="n">
        <v>0</v>
      </c>
      <c r="L186" t="n">
        <v>0</v>
      </c>
      <c r="M186" t="n">
        <v>0</v>
      </c>
      <c r="N186" t="n">
        <v>0</v>
      </c>
      <c r="O186" t="n">
        <v>0</v>
      </c>
      <c r="P186" t="n">
        <v>0</v>
      </c>
      <c r="Q186" t="n">
        <v>0</v>
      </c>
      <c r="R186" t="n">
        <v>0</v>
      </c>
      <c r="S186" t="n">
        <v>0</v>
      </c>
      <c r="T186" t="n">
        <v>0</v>
      </c>
      <c r="U186" s="2" t="inlineStr"/>
    </row>
    <row r="187" ht="15" customHeight="1">
      <c r="A187" t="inlineStr">
        <is>
          <t>A 42516-2022</t>
        </is>
      </c>
      <c r="B187" t="inlineStr">
        <is>
          <t>avverkningsanmälan</t>
        </is>
      </c>
      <c r="C187" t="inlineStr">
        <is>
          <t>Föryngringsavverkning</t>
        </is>
      </c>
      <c r="D187" s="1" t="n">
        <v>44831</v>
      </c>
      <c r="E187" s="1" t="n">
        <v>46223</v>
      </c>
      <c r="F187" t="inlineStr">
        <is>
          <t>SÖDERMANLANDS LÄN</t>
        </is>
      </c>
      <c r="G187" t="inlineStr">
        <is>
          <t>GNESTA</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42520-2022</t>
        </is>
      </c>
      <c r="B188" t="inlineStr">
        <is>
          <t>avverkningsanmälan</t>
        </is>
      </c>
      <c r="C188" t="inlineStr">
        <is>
          <t>Föryngringsavverkning</t>
        </is>
      </c>
      <c r="D188" s="1" t="n">
        <v>44831</v>
      </c>
      <c r="E188" s="1" t="n">
        <v>46223</v>
      </c>
      <c r="F188" t="inlineStr">
        <is>
          <t>SÖDERMANLANDS LÄN</t>
        </is>
      </c>
      <c r="G188" t="inlineStr">
        <is>
          <t>GNESTA</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57183-2025</t>
        </is>
      </c>
      <c r="B189" t="inlineStr">
        <is>
          <t>avverkningsanmälan</t>
        </is>
      </c>
      <c r="C189" t="inlineStr">
        <is>
          <t>Föryngringsavverkning</t>
        </is>
      </c>
      <c r="D189" s="1" t="n">
        <v>45979</v>
      </c>
      <c r="E189" s="1" t="n">
        <v>46223</v>
      </c>
      <c r="F189" t="inlineStr">
        <is>
          <t>SÖDERMANLANDS LÄN</t>
        </is>
      </c>
      <c r="G189" t="inlineStr">
        <is>
          <t>GNESTA</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57341-2025</t>
        </is>
      </c>
      <c r="B190" t="inlineStr">
        <is>
          <t>avverkningsanmälan</t>
        </is>
      </c>
      <c r="C190" t="inlineStr">
        <is>
          <t>Föryngringsavverkning</t>
        </is>
      </c>
      <c r="D190" s="1" t="n">
        <v>45979</v>
      </c>
      <c r="E190" s="1" t="n">
        <v>46223</v>
      </c>
      <c r="F190" t="inlineStr">
        <is>
          <t>SÖDERMANLANDS LÄN</t>
        </is>
      </c>
      <c r="G190" t="inlineStr">
        <is>
          <t>GNESTA</t>
        </is>
      </c>
      <c r="I190" t="n">
        <v>17.5</v>
      </c>
      <c r="J190" t="n">
        <v>0</v>
      </c>
      <c r="K190" t="n">
        <v>0</v>
      </c>
      <c r="L190" t="n">
        <v>0</v>
      </c>
      <c r="M190" t="n">
        <v>0</v>
      </c>
      <c r="N190" t="n">
        <v>0</v>
      </c>
      <c r="O190" t="n">
        <v>0</v>
      </c>
      <c r="P190" t="n">
        <v>0</v>
      </c>
      <c r="Q190" t="n">
        <v>0</v>
      </c>
      <c r="R190" t="n">
        <v>0</v>
      </c>
      <c r="S190" t="n">
        <v>0</v>
      </c>
      <c r="T190" t="n">
        <v>0</v>
      </c>
      <c r="U190" s="2" t="inlineStr"/>
    </row>
    <row r="191" ht="15" customHeight="1">
      <c r="A191" t="inlineStr">
        <is>
          <t>A 1549-2022</t>
        </is>
      </c>
      <c r="B191" t="inlineStr">
        <is>
          <t>avverkningsanmälan</t>
        </is>
      </c>
      <c r="C191" t="inlineStr">
        <is>
          <t>Föryngringsavverkning</t>
        </is>
      </c>
      <c r="D191" s="1" t="n">
        <v>44573</v>
      </c>
      <c r="E191" s="1" t="n">
        <v>46223</v>
      </c>
      <c r="F191" t="inlineStr">
        <is>
          <t>SÖDERMANLANDS LÄN</t>
        </is>
      </c>
      <c r="G191" t="inlineStr">
        <is>
          <t>GNESTA</t>
        </is>
      </c>
      <c r="I191" t="n">
        <v>32.6</v>
      </c>
      <c r="J191" t="n">
        <v>0</v>
      </c>
      <c r="K191" t="n">
        <v>0</v>
      </c>
      <c r="L191" t="n">
        <v>0</v>
      </c>
      <c r="M191" t="n">
        <v>0</v>
      </c>
      <c r="N191" t="n">
        <v>0</v>
      </c>
      <c r="O191" t="n">
        <v>0</v>
      </c>
      <c r="P191" t="n">
        <v>0</v>
      </c>
      <c r="Q191" t="n">
        <v>0</v>
      </c>
      <c r="R191" t="n">
        <v>0</v>
      </c>
      <c r="S191" t="n">
        <v>0</v>
      </c>
      <c r="T191" t="n">
        <v>0</v>
      </c>
      <c r="U191" s="2" t="inlineStr"/>
    </row>
    <row r="192" ht="15" customHeight="1">
      <c r="A192" t="inlineStr">
        <is>
          <t>A 60157-2025</t>
        </is>
      </c>
      <c r="B192" t="inlineStr">
        <is>
          <t>avverkningsanmälan</t>
        </is>
      </c>
      <c r="C192" t="inlineStr">
        <is>
          <t>Föryngringsavverkning</t>
        </is>
      </c>
      <c r="D192" s="1" t="n">
        <v>45994</v>
      </c>
      <c r="E192" s="1" t="n">
        <v>46223</v>
      </c>
      <c r="F192" t="inlineStr">
        <is>
          <t>SÖDERMANLANDS LÄN</t>
        </is>
      </c>
      <c r="G192" t="inlineStr">
        <is>
          <t>GNESTA</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60193-2025</t>
        </is>
      </c>
      <c r="B193" t="inlineStr">
        <is>
          <t>avverkningsanmälan</t>
        </is>
      </c>
      <c r="C193" t="inlineStr">
        <is>
          <t>Föryngringsavverkning</t>
        </is>
      </c>
      <c r="D193" s="1" t="n">
        <v>45994</v>
      </c>
      <c r="E193" s="1" t="n">
        <v>46223</v>
      </c>
      <c r="F193" t="inlineStr">
        <is>
          <t>SÖDERMANLANDS LÄN</t>
        </is>
      </c>
      <c r="G193" t="inlineStr">
        <is>
          <t>GNESTA</t>
        </is>
      </c>
      <c r="I193" t="n">
        <v>3.6</v>
      </c>
      <c r="J193" t="n">
        <v>0</v>
      </c>
      <c r="K193" t="n">
        <v>0</v>
      </c>
      <c r="L193" t="n">
        <v>0</v>
      </c>
      <c r="M193" t="n">
        <v>0</v>
      </c>
      <c r="N193" t="n">
        <v>0</v>
      </c>
      <c r="O193" t="n">
        <v>0</v>
      </c>
      <c r="P193" t="n">
        <v>0</v>
      </c>
      <c r="Q193" t="n">
        <v>0</v>
      </c>
      <c r="R193" t="n">
        <v>0</v>
      </c>
      <c r="S193" t="n">
        <v>0</v>
      </c>
      <c r="T193" t="n">
        <v>0</v>
      </c>
      <c r="U193" s="2" t="inlineStr"/>
    </row>
    <row r="194" ht="15" customHeight="1">
      <c r="A194" t="inlineStr">
        <is>
          <t>A 56442-2022</t>
        </is>
      </c>
      <c r="B194" t="inlineStr">
        <is>
          <t>avverkningsanmälan</t>
        </is>
      </c>
      <c r="C194" t="inlineStr">
        <is>
          <t>Föryngringsavverkning</t>
        </is>
      </c>
      <c r="D194" s="1" t="n">
        <v>44892</v>
      </c>
      <c r="E194" s="1" t="n">
        <v>46223</v>
      </c>
      <c r="F194" t="inlineStr">
        <is>
          <t>SÖDERMANLANDS LÄN</t>
        </is>
      </c>
      <c r="G194" t="inlineStr">
        <is>
          <t>GNESTA</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54702-2021</t>
        </is>
      </c>
      <c r="B195" t="inlineStr">
        <is>
          <t>avverkningsanmälan</t>
        </is>
      </c>
      <c r="C195" t="inlineStr">
        <is>
          <t>Avverkning för annat ändamål</t>
        </is>
      </c>
      <c r="D195" s="1" t="n">
        <v>44473</v>
      </c>
      <c r="E195" s="1" t="n">
        <v>46223</v>
      </c>
      <c r="F195" t="inlineStr">
        <is>
          <t>SÖDERMANLANDS LÄN</t>
        </is>
      </c>
      <c r="G195" t="inlineStr">
        <is>
          <t>GNESTA</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62889-2023</t>
        </is>
      </c>
      <c r="B196" t="inlineStr">
        <is>
          <t>avverkningsanmälan</t>
        </is>
      </c>
      <c r="C196" t="inlineStr">
        <is>
          <t>Föryngringsavverkning</t>
        </is>
      </c>
      <c r="D196" s="1" t="n">
        <v>45272</v>
      </c>
      <c r="E196" s="1" t="n">
        <v>46223</v>
      </c>
      <c r="F196" t="inlineStr">
        <is>
          <t>SÖDERMANLANDS LÄN</t>
        </is>
      </c>
      <c r="G196" t="inlineStr">
        <is>
          <t>GNESTA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5-2023</t>
        </is>
      </c>
      <c r="B197" t="inlineStr">
        <is>
          <t>avverkningsanmälan</t>
        </is>
      </c>
      <c r="C197" t="inlineStr">
        <is>
          <t>Föryngringsavverkning</t>
        </is>
      </c>
      <c r="D197" s="1" t="n">
        <v>44927</v>
      </c>
      <c r="E197" s="1" t="n">
        <v>46223</v>
      </c>
      <c r="F197" t="inlineStr">
        <is>
          <t>SÖDERMANLANDS LÄN</t>
        </is>
      </c>
      <c r="G197" t="inlineStr">
        <is>
          <t>GNESTA</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62967-2023</t>
        </is>
      </c>
      <c r="B198" t="inlineStr">
        <is>
          <t>avverkningsanmälan</t>
        </is>
      </c>
      <c r="C198" t="inlineStr">
        <is>
          <t>Föryngringsavverkning</t>
        </is>
      </c>
      <c r="D198" s="1" t="n">
        <v>45272</v>
      </c>
      <c r="E198" s="1" t="n">
        <v>46223</v>
      </c>
      <c r="F198" t="inlineStr">
        <is>
          <t>SÖDERMANLANDS LÄN</t>
        </is>
      </c>
      <c r="G198" t="inlineStr">
        <is>
          <t>GNESTA</t>
        </is>
      </c>
      <c r="I198" t="n">
        <v>7.4</v>
      </c>
      <c r="J198" t="n">
        <v>0</v>
      </c>
      <c r="K198" t="n">
        <v>0</v>
      </c>
      <c r="L198" t="n">
        <v>0</v>
      </c>
      <c r="M198" t="n">
        <v>0</v>
      </c>
      <c r="N198" t="n">
        <v>0</v>
      </c>
      <c r="O198" t="n">
        <v>0</v>
      </c>
      <c r="P198" t="n">
        <v>0</v>
      </c>
      <c r="Q198" t="n">
        <v>0</v>
      </c>
      <c r="R198" t="n">
        <v>0</v>
      </c>
      <c r="S198" t="n">
        <v>0</v>
      </c>
      <c r="T198" t="n">
        <v>0</v>
      </c>
      <c r="U198" s="2" t="inlineStr"/>
    </row>
    <row r="199" ht="15" customHeight="1">
      <c r="A199" t="inlineStr">
        <is>
          <t>A 28458-2023</t>
        </is>
      </c>
      <c r="B199" t="inlineStr">
        <is>
          <t>avverkningsanmälan</t>
        </is>
      </c>
      <c r="C199" t="inlineStr">
        <is>
          <t>Föryngringsavverkning</t>
        </is>
      </c>
      <c r="D199" s="1" t="n">
        <v>45103</v>
      </c>
      <c r="E199" s="1" t="n">
        <v>46223</v>
      </c>
      <c r="F199" t="inlineStr">
        <is>
          <t>SÖDERMANLANDS LÄN</t>
        </is>
      </c>
      <c r="G199" t="inlineStr">
        <is>
          <t>GNESTA</t>
        </is>
      </c>
      <c r="I199" t="n">
        <v>6.4</v>
      </c>
      <c r="J199" t="n">
        <v>0</v>
      </c>
      <c r="K199" t="n">
        <v>0</v>
      </c>
      <c r="L199" t="n">
        <v>0</v>
      </c>
      <c r="M199" t="n">
        <v>0</v>
      </c>
      <c r="N199" t="n">
        <v>0</v>
      </c>
      <c r="O199" t="n">
        <v>0</v>
      </c>
      <c r="P199" t="n">
        <v>0</v>
      </c>
      <c r="Q199" t="n">
        <v>0</v>
      </c>
      <c r="R199" t="n">
        <v>0</v>
      </c>
      <c r="S199" t="n">
        <v>0</v>
      </c>
      <c r="T199" t="n">
        <v>0</v>
      </c>
      <c r="U199" s="2" t="inlineStr"/>
    </row>
    <row r="200" ht="15" customHeight="1">
      <c r="A200" t="inlineStr">
        <is>
          <t>A 49011-2022</t>
        </is>
      </c>
      <c r="B200" t="inlineStr">
        <is>
          <t>avverkningsanmälan</t>
        </is>
      </c>
      <c r="C200" t="inlineStr">
        <is>
          <t>Föryngringsavverkning</t>
        </is>
      </c>
      <c r="D200" s="1" t="n">
        <v>44860</v>
      </c>
      <c r="E200" s="1" t="n">
        <v>46223</v>
      </c>
      <c r="F200" t="inlineStr">
        <is>
          <t>SÖDERMANLANDS LÄN</t>
        </is>
      </c>
      <c r="G200" t="inlineStr">
        <is>
          <t>GNESTA</t>
        </is>
      </c>
      <c r="I200" t="n">
        <v>2.9</v>
      </c>
      <c r="J200" t="n">
        <v>0</v>
      </c>
      <c r="K200" t="n">
        <v>0</v>
      </c>
      <c r="L200" t="n">
        <v>0</v>
      </c>
      <c r="M200" t="n">
        <v>0</v>
      </c>
      <c r="N200" t="n">
        <v>0</v>
      </c>
      <c r="O200" t="n">
        <v>0</v>
      </c>
      <c r="P200" t="n">
        <v>0</v>
      </c>
      <c r="Q200" t="n">
        <v>0</v>
      </c>
      <c r="R200" t="n">
        <v>0</v>
      </c>
      <c r="S200" t="n">
        <v>0</v>
      </c>
      <c r="T200" t="n">
        <v>0</v>
      </c>
      <c r="U200" s="2" t="inlineStr"/>
    </row>
    <row r="201" ht="15" customHeight="1">
      <c r="A201" t="inlineStr">
        <is>
          <t>A 57601-2021</t>
        </is>
      </c>
      <c r="B201" t="inlineStr">
        <is>
          <t>avverkningsanmälan</t>
        </is>
      </c>
      <c r="C201" t="inlineStr">
        <is>
          <t>Föryngringsavverkning</t>
        </is>
      </c>
      <c r="D201" s="1" t="n">
        <v>44484</v>
      </c>
      <c r="E201" s="1" t="n">
        <v>46223</v>
      </c>
      <c r="F201" t="inlineStr">
        <is>
          <t>SÖDERMANLANDS LÄN</t>
        </is>
      </c>
      <c r="G201" t="inlineStr">
        <is>
          <t>GNESTA</t>
        </is>
      </c>
      <c r="H201" t="inlineStr">
        <is>
          <t>Holmen skog AB</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62071-2025</t>
        </is>
      </c>
      <c r="B202" t="inlineStr">
        <is>
          <t>avverkningsanmälan</t>
        </is>
      </c>
      <c r="C202" t="inlineStr">
        <is>
          <t>Föryngringsavverkning</t>
        </is>
      </c>
      <c r="D202" s="1" t="n">
        <v>46006</v>
      </c>
      <c r="E202" s="1" t="n">
        <v>46223</v>
      </c>
      <c r="F202" t="inlineStr">
        <is>
          <t>SÖDERMANLANDS LÄN</t>
        </is>
      </c>
      <c r="G202" t="inlineStr">
        <is>
          <t>GNESTA</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62740-2025</t>
        </is>
      </c>
      <c r="B203" t="inlineStr">
        <is>
          <t>avverkningsanmälan</t>
        </is>
      </c>
      <c r="C203" t="inlineStr">
        <is>
          <t>Föryngringsavverkning</t>
        </is>
      </c>
      <c r="D203" s="1" t="n">
        <v>46008</v>
      </c>
      <c r="E203" s="1" t="n">
        <v>46223</v>
      </c>
      <c r="F203" t="inlineStr">
        <is>
          <t>SÖDERMANLANDS LÄN</t>
        </is>
      </c>
      <c r="G203" t="inlineStr">
        <is>
          <t>GNESTA</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62503-2025</t>
        </is>
      </c>
      <c r="B204" t="inlineStr">
        <is>
          <t>avverkningsanmälan</t>
        </is>
      </c>
      <c r="C204" t="inlineStr">
        <is>
          <t>Föryngringsavverkning</t>
        </is>
      </c>
      <c r="D204" s="1" t="n">
        <v>46007</v>
      </c>
      <c r="E204" s="1" t="n">
        <v>46223</v>
      </c>
      <c r="F204" t="inlineStr">
        <is>
          <t>SÖDERMANLANDS LÄN</t>
        </is>
      </c>
      <c r="G204" t="inlineStr">
        <is>
          <t>GNESTA</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49614-2023</t>
        </is>
      </c>
      <c r="B205" t="inlineStr">
        <is>
          <t>avverkningsanmälan</t>
        </is>
      </c>
      <c r="C205" t="inlineStr">
        <is>
          <t>Föryngringsavverkning</t>
        </is>
      </c>
      <c r="D205" s="1" t="n">
        <v>45211</v>
      </c>
      <c r="E205" s="1" t="n">
        <v>46223</v>
      </c>
      <c r="F205" t="inlineStr">
        <is>
          <t>SÖDERMANLANDS LÄN</t>
        </is>
      </c>
      <c r="G205" t="inlineStr">
        <is>
          <t>GNESTA</t>
        </is>
      </c>
      <c r="I205" t="n">
        <v>3.9</v>
      </c>
      <c r="J205" t="n">
        <v>0</v>
      </c>
      <c r="K205" t="n">
        <v>0</v>
      </c>
      <c r="L205" t="n">
        <v>0</v>
      </c>
      <c r="M205" t="n">
        <v>0</v>
      </c>
      <c r="N205" t="n">
        <v>0</v>
      </c>
      <c r="O205" t="n">
        <v>0</v>
      </c>
      <c r="P205" t="n">
        <v>0</v>
      </c>
      <c r="Q205" t="n">
        <v>0</v>
      </c>
      <c r="R205" t="n">
        <v>0</v>
      </c>
      <c r="S205" t="n">
        <v>0</v>
      </c>
      <c r="T205" t="n">
        <v>0</v>
      </c>
      <c r="U205" s="2" t="inlineStr"/>
    </row>
    <row r="206" ht="15" customHeight="1">
      <c r="A206" t="inlineStr">
        <is>
          <t>A 68389-2021</t>
        </is>
      </c>
      <c r="B206" t="inlineStr">
        <is>
          <t>avverkningsanmälan</t>
        </is>
      </c>
      <c r="C206" t="inlineStr">
        <is>
          <t>Föryngringsavverkning</t>
        </is>
      </c>
      <c r="D206" s="1" t="n">
        <v>44529</v>
      </c>
      <c r="E206" s="1" t="n">
        <v>46223</v>
      </c>
      <c r="F206" t="inlineStr">
        <is>
          <t>SÖDERMANLANDS LÄN</t>
        </is>
      </c>
      <c r="G206" t="inlineStr">
        <is>
          <t>GNESTA</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6394-2023</t>
        </is>
      </c>
      <c r="B207" t="inlineStr">
        <is>
          <t>avverkningsanmälan</t>
        </is>
      </c>
      <c r="C207" t="inlineStr">
        <is>
          <t>Föryngringsavverkning</t>
        </is>
      </c>
      <c r="D207" s="1" t="n">
        <v>44965</v>
      </c>
      <c r="E207" s="1" t="n">
        <v>46223</v>
      </c>
      <c r="F207" t="inlineStr">
        <is>
          <t>SÖDERMANLANDS LÄN</t>
        </is>
      </c>
      <c r="G207" t="inlineStr">
        <is>
          <t>GNESTA</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3227-2023</t>
        </is>
      </c>
      <c r="B208" t="inlineStr">
        <is>
          <t>avverkningsanmälan</t>
        </is>
      </c>
      <c r="C208" t="inlineStr">
        <is>
          <t>Föryngringsavverkning</t>
        </is>
      </c>
      <c r="D208" s="1" t="n">
        <v>44946</v>
      </c>
      <c r="E208" s="1" t="n">
        <v>46223</v>
      </c>
      <c r="F208" t="inlineStr">
        <is>
          <t>SÖDERMANLANDS LÄN</t>
        </is>
      </c>
      <c r="G208" t="inlineStr">
        <is>
          <t>GNESTA</t>
        </is>
      </c>
      <c r="H208" t="inlineStr">
        <is>
          <t>Kommuner</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16689-2026</t>
        </is>
      </c>
      <c r="B209" t="inlineStr">
        <is>
          <t>avverkningsanmälan</t>
        </is>
      </c>
      <c r="C209" t="inlineStr">
        <is>
          <t>Föryngringsavverkning</t>
        </is>
      </c>
      <c r="D209" s="1" t="n">
        <v>46112</v>
      </c>
      <c r="E209" s="1" t="n">
        <v>46223</v>
      </c>
      <c r="F209" t="inlineStr">
        <is>
          <t>SÖDERMANLANDS LÄN</t>
        </is>
      </c>
      <c r="G209" t="inlineStr">
        <is>
          <t>GNESTA</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16688-2026</t>
        </is>
      </c>
      <c r="B210" t="inlineStr">
        <is>
          <t>avverkningsanmälan</t>
        </is>
      </c>
      <c r="C210" t="inlineStr">
        <is>
          <t>Föryngringsavverkning</t>
        </is>
      </c>
      <c r="D210" s="1" t="n">
        <v>46112</v>
      </c>
      <c r="E210" s="1" t="n">
        <v>46223</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s="2" t="inlineStr"/>
    </row>
    <row r="211" ht="15" customHeight="1">
      <c r="A211" t="inlineStr">
        <is>
          <t>A 16690-2026</t>
        </is>
      </c>
      <c r="B211" t="inlineStr">
        <is>
          <t>avverkningsanmälan</t>
        </is>
      </c>
      <c r="C211" t="inlineStr">
        <is>
          <t>Föryngringsavverkning</t>
        </is>
      </c>
      <c r="D211" s="1" t="n">
        <v>46112</v>
      </c>
      <c r="E211" s="1" t="n">
        <v>46223</v>
      </c>
      <c r="F211" t="inlineStr">
        <is>
          <t>SÖDERMANLANDS LÄN</t>
        </is>
      </c>
      <c r="G211" t="inlineStr">
        <is>
          <t>GNESTA</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25525-2024</t>
        </is>
      </c>
      <c r="B212" t="inlineStr">
        <is>
          <t>avverkningsanmälan</t>
        </is>
      </c>
      <c r="C212" t="inlineStr">
        <is>
          <t>Avverkning för annat ändamål</t>
        </is>
      </c>
      <c r="D212" s="1" t="n">
        <v>45463</v>
      </c>
      <c r="E212" s="1" t="n">
        <v>46223</v>
      </c>
      <c r="F212" t="inlineStr">
        <is>
          <t>SÖDERMANLANDS LÄN</t>
        </is>
      </c>
      <c r="G212" t="inlineStr">
        <is>
          <t>GNESTA</t>
        </is>
      </c>
      <c r="I212" t="n">
        <v>4.8</v>
      </c>
      <c r="J212" t="n">
        <v>0</v>
      </c>
      <c r="K212" t="n">
        <v>0</v>
      </c>
      <c r="L212" t="n">
        <v>0</v>
      </c>
      <c r="M212" t="n">
        <v>0</v>
      </c>
      <c r="N212" t="n">
        <v>0</v>
      </c>
      <c r="O212" t="n">
        <v>0</v>
      </c>
      <c r="P212" t="n">
        <v>0</v>
      </c>
      <c r="Q212" t="n">
        <v>0</v>
      </c>
      <c r="R212" t="n">
        <v>0</v>
      </c>
      <c r="S212" t="n">
        <v>0</v>
      </c>
      <c r="T212" t="n">
        <v>0</v>
      </c>
      <c r="U212" s="2" t="inlineStr"/>
    </row>
    <row r="213" ht="15" customHeight="1">
      <c r="A213" t="inlineStr">
        <is>
          <t>A 7292-2023</t>
        </is>
      </c>
      <c r="B213" t="inlineStr">
        <is>
          <t>avverkningsanmälan</t>
        </is>
      </c>
      <c r="C213" t="inlineStr">
        <is>
          <t>Föryngringsavverkning</t>
        </is>
      </c>
      <c r="D213" s="1" t="n">
        <v>44970</v>
      </c>
      <c r="E213" s="1" t="n">
        <v>46223</v>
      </c>
      <c r="F213" t="inlineStr">
        <is>
          <t>SÖDERMANLANDS LÄN</t>
        </is>
      </c>
      <c r="G213" t="inlineStr">
        <is>
          <t>GNESTA</t>
        </is>
      </c>
      <c r="I213" t="n">
        <v>3.1</v>
      </c>
      <c r="J213" t="n">
        <v>0</v>
      </c>
      <c r="K213" t="n">
        <v>0</v>
      </c>
      <c r="L213" t="n">
        <v>0</v>
      </c>
      <c r="M213" t="n">
        <v>0</v>
      </c>
      <c r="N213" t="n">
        <v>0</v>
      </c>
      <c r="O213" t="n">
        <v>0</v>
      </c>
      <c r="P213" t="n">
        <v>0</v>
      </c>
      <c r="Q213" t="n">
        <v>0</v>
      </c>
      <c r="R213" t="n">
        <v>0</v>
      </c>
      <c r="S213" t="n">
        <v>0</v>
      </c>
      <c r="T213" t="n">
        <v>0</v>
      </c>
      <c r="U213" s="2" t="inlineStr"/>
    </row>
    <row r="214" ht="15" customHeight="1">
      <c r="A214" t="inlineStr">
        <is>
          <t>A 17339-2026</t>
        </is>
      </c>
      <c r="B214" t="inlineStr">
        <is>
          <t>avverkningsanmälan</t>
        </is>
      </c>
      <c r="C214" t="inlineStr">
        <is>
          <t>Avverkning för annat ändamål</t>
        </is>
      </c>
      <c r="D214" s="1" t="n">
        <v>46119</v>
      </c>
      <c r="E214" s="1" t="n">
        <v>46223</v>
      </c>
      <c r="F214" t="inlineStr">
        <is>
          <t>SÖDERMANLANDS LÄN</t>
        </is>
      </c>
      <c r="G214" t="inlineStr">
        <is>
          <t>GNESTA</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17853-2026</t>
        </is>
      </c>
      <c r="B215" t="inlineStr">
        <is>
          <t>avverkningsanmälan</t>
        </is>
      </c>
      <c r="C215" t="inlineStr">
        <is>
          <t>Föryngringsavverkning</t>
        </is>
      </c>
      <c r="D215" s="1" t="n">
        <v>46122</v>
      </c>
      <c r="E215" s="1" t="n">
        <v>46223</v>
      </c>
      <c r="F215" t="inlineStr">
        <is>
          <t>SÖDERMANLANDS LÄN</t>
        </is>
      </c>
      <c r="G215" t="inlineStr">
        <is>
          <t>GNESTA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4391-2022</t>
        </is>
      </c>
      <c r="B216" t="inlineStr">
        <is>
          <t>avverkningsanmälan</t>
        </is>
      </c>
      <c r="C216" t="inlineStr">
        <is>
          <t>Föryngringsavverkning</t>
        </is>
      </c>
      <c r="D216" s="1" t="n">
        <v>44589</v>
      </c>
      <c r="E216" s="1" t="n">
        <v>46223</v>
      </c>
      <c r="F216" t="inlineStr">
        <is>
          <t>SÖDERMANLANDS LÄN</t>
        </is>
      </c>
      <c r="G216" t="inlineStr">
        <is>
          <t>GNESTA</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34437-2023</t>
        </is>
      </c>
      <c r="B217" t="inlineStr">
        <is>
          <t>avverkningsanmälan</t>
        </is>
      </c>
      <c r="C217" t="inlineStr">
        <is>
          <t>Avverkning för annat ändamål</t>
        </is>
      </c>
      <c r="D217" s="1" t="n">
        <v>45133</v>
      </c>
      <c r="E217" s="1" t="n">
        <v>46223</v>
      </c>
      <c r="F217" t="inlineStr">
        <is>
          <t>SÖDERMANLANDS LÄN</t>
        </is>
      </c>
      <c r="G217" t="inlineStr">
        <is>
          <t>GNESTA</t>
        </is>
      </c>
      <c r="I217" t="n">
        <v>9.699999999999999</v>
      </c>
      <c r="J217" t="n">
        <v>0</v>
      </c>
      <c r="K217" t="n">
        <v>0</v>
      </c>
      <c r="L217" t="n">
        <v>0</v>
      </c>
      <c r="M217" t="n">
        <v>0</v>
      </c>
      <c r="N217" t="n">
        <v>0</v>
      </c>
      <c r="O217" t="n">
        <v>0</v>
      </c>
      <c r="P217" t="n">
        <v>0</v>
      </c>
      <c r="Q217" t="n">
        <v>0</v>
      </c>
      <c r="R217" t="n">
        <v>0</v>
      </c>
      <c r="S217" t="n">
        <v>0</v>
      </c>
      <c r="T217" t="n">
        <v>0</v>
      </c>
      <c r="U217" s="2" t="inlineStr"/>
    </row>
    <row r="218" ht="15" customHeight="1">
      <c r="A218" t="inlineStr">
        <is>
          <t>A 73493-2021</t>
        </is>
      </c>
      <c r="B218" t="inlineStr">
        <is>
          <t>avverkningsanmälan</t>
        </is>
      </c>
      <c r="C218" t="inlineStr">
        <is>
          <t>Föryngringsavverkning</t>
        </is>
      </c>
      <c r="D218" s="1" t="n">
        <v>44551</v>
      </c>
      <c r="E218" s="1" t="n">
        <v>46223</v>
      </c>
      <c r="F218" t="inlineStr">
        <is>
          <t>SÖDERMANLANDS LÄN</t>
        </is>
      </c>
      <c r="G218" t="inlineStr">
        <is>
          <t>GNESTA</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8437-2024</t>
        </is>
      </c>
      <c r="B219" t="inlineStr">
        <is>
          <t>avverkningsanmälan</t>
        </is>
      </c>
      <c r="C219" t="inlineStr">
        <is>
          <t>Föryngringsavverkning</t>
        </is>
      </c>
      <c r="D219" s="1" t="n">
        <v>45353</v>
      </c>
      <c r="E219" s="1" t="n">
        <v>46223</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38161-2025</t>
        </is>
      </c>
      <c r="B220" t="inlineStr">
        <is>
          <t>avverkningsanmälan</t>
        </is>
      </c>
      <c r="C220" t="inlineStr">
        <is>
          <t>Föryngringsavverkning</t>
        </is>
      </c>
      <c r="D220" s="1" t="n">
        <v>45882</v>
      </c>
      <c r="E220" s="1" t="n">
        <v>46223</v>
      </c>
      <c r="F220" t="inlineStr">
        <is>
          <t>SÖDERMANLANDS LÄN</t>
        </is>
      </c>
      <c r="G220" t="inlineStr">
        <is>
          <t>GNESTA</t>
        </is>
      </c>
      <c r="I220" t="n">
        <v>2.8</v>
      </c>
      <c r="J220" t="n">
        <v>0</v>
      </c>
      <c r="K220" t="n">
        <v>0</v>
      </c>
      <c r="L220" t="n">
        <v>0</v>
      </c>
      <c r="M220" t="n">
        <v>0</v>
      </c>
      <c r="N220" t="n">
        <v>0</v>
      </c>
      <c r="O220" t="n">
        <v>0</v>
      </c>
      <c r="P220" t="n">
        <v>0</v>
      </c>
      <c r="Q220" t="n">
        <v>0</v>
      </c>
      <c r="R220" t="n">
        <v>0</v>
      </c>
      <c r="S220" t="n">
        <v>0</v>
      </c>
      <c r="T220" t="n">
        <v>0</v>
      </c>
      <c r="U220" s="2" t="inlineStr"/>
    </row>
    <row r="221" ht="15" customHeight="1">
      <c r="A221" t="inlineStr">
        <is>
          <t>A 36308-2023</t>
        </is>
      </c>
      <c r="B221" t="inlineStr">
        <is>
          <t>avverkningsanmälan</t>
        </is>
      </c>
      <c r="C221" t="inlineStr">
        <is>
          <t>Föryngringsavverkning</t>
        </is>
      </c>
      <c r="D221" s="1" t="n">
        <v>45152</v>
      </c>
      <c r="E221" s="1" t="n">
        <v>46223</v>
      </c>
      <c r="F221" t="inlineStr">
        <is>
          <t>SÖDERMANLANDS LÄN</t>
        </is>
      </c>
      <c r="G221" t="inlineStr">
        <is>
          <t>GNESTA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19889-2026</t>
        </is>
      </c>
      <c r="B222" t="inlineStr">
        <is>
          <t>avverkningsanmälan</t>
        </is>
      </c>
      <c r="C222" t="inlineStr">
        <is>
          <t>Föryngringsavverkning</t>
        </is>
      </c>
      <c r="D222" s="1" t="n">
        <v>46135</v>
      </c>
      <c r="E222" s="1" t="n">
        <v>46223</v>
      </c>
      <c r="F222" t="inlineStr">
        <is>
          <t>SÖDERMANLANDS LÄN</t>
        </is>
      </c>
      <c r="G222" t="inlineStr">
        <is>
          <t>GNESTA</t>
        </is>
      </c>
      <c r="I222" t="n">
        <v>3.2</v>
      </c>
      <c r="J222" t="n">
        <v>0</v>
      </c>
      <c r="K222" t="n">
        <v>0</v>
      </c>
      <c r="L222" t="n">
        <v>0</v>
      </c>
      <c r="M222" t="n">
        <v>0</v>
      </c>
      <c r="N222" t="n">
        <v>0</v>
      </c>
      <c r="O222" t="n">
        <v>0</v>
      </c>
      <c r="P222" t="n">
        <v>0</v>
      </c>
      <c r="Q222" t="n">
        <v>0</v>
      </c>
      <c r="R222" t="n">
        <v>0</v>
      </c>
      <c r="S222" t="n">
        <v>0</v>
      </c>
      <c r="T222" t="n">
        <v>0</v>
      </c>
      <c r="U222" s="2" t="inlineStr"/>
    </row>
    <row r="223" ht="15" customHeight="1">
      <c r="A223" t="inlineStr">
        <is>
          <t>A 14078-2022</t>
        </is>
      </c>
      <c r="B223" t="inlineStr">
        <is>
          <t>avverkningsanmälan</t>
        </is>
      </c>
      <c r="C223" t="inlineStr">
        <is>
          <t>Föryngringsavverkning</t>
        </is>
      </c>
      <c r="D223" s="1" t="n">
        <v>44650</v>
      </c>
      <c r="E223" s="1" t="n">
        <v>46223</v>
      </c>
      <c r="F223" t="inlineStr">
        <is>
          <t>SÖDERMANLANDS LÄN</t>
        </is>
      </c>
      <c r="G223" t="inlineStr">
        <is>
          <t>GNESTA</t>
        </is>
      </c>
      <c r="I223" t="n">
        <v>6.7</v>
      </c>
      <c r="J223" t="n">
        <v>0</v>
      </c>
      <c r="K223" t="n">
        <v>0</v>
      </c>
      <c r="L223" t="n">
        <v>0</v>
      </c>
      <c r="M223" t="n">
        <v>0</v>
      </c>
      <c r="N223" t="n">
        <v>0</v>
      </c>
      <c r="O223" t="n">
        <v>0</v>
      </c>
      <c r="P223" t="n">
        <v>0</v>
      </c>
      <c r="Q223" t="n">
        <v>0</v>
      </c>
      <c r="R223" t="n">
        <v>0</v>
      </c>
      <c r="S223" t="n">
        <v>0</v>
      </c>
      <c r="T223" t="n">
        <v>0</v>
      </c>
      <c r="U223" s="2" t="inlineStr"/>
    </row>
    <row r="224" ht="15" customHeight="1">
      <c r="A224" t="inlineStr">
        <is>
          <t>A 7054-2022</t>
        </is>
      </c>
      <c r="B224" t="inlineStr">
        <is>
          <t>avverkningsanmälan</t>
        </is>
      </c>
      <c r="C224" t="inlineStr">
        <is>
          <t>Avverkning för annat ändamål</t>
        </is>
      </c>
      <c r="D224" s="1" t="n">
        <v>44603</v>
      </c>
      <c r="E224" s="1" t="n">
        <v>46223</v>
      </c>
      <c r="F224" t="inlineStr">
        <is>
          <t>SÖDERMANLANDS LÄN</t>
        </is>
      </c>
      <c r="G224" t="inlineStr">
        <is>
          <t>GNESTA</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42973-2025</t>
        </is>
      </c>
      <c r="B225" t="inlineStr">
        <is>
          <t>avverkningsanmälan</t>
        </is>
      </c>
      <c r="C225" t="inlineStr">
        <is>
          <t>Föryngringsavverkning</t>
        </is>
      </c>
      <c r="D225" s="1" t="n">
        <v>45909</v>
      </c>
      <c r="E225" s="1" t="n">
        <v>46223</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26098-2026</t>
        </is>
      </c>
      <c r="B226" t="inlineStr">
        <is>
          <t>avverkningsanmälan</t>
        </is>
      </c>
      <c r="C226" t="inlineStr">
        <is>
          <t>Föryngringsavverkning</t>
        </is>
      </c>
      <c r="D226" s="1" t="n">
        <v>46181</v>
      </c>
      <c r="E226" s="1" t="n">
        <v>46223</v>
      </c>
      <c r="F226" t="inlineStr">
        <is>
          <t>SÖDERMANLANDS LÄN</t>
        </is>
      </c>
      <c r="G226" t="inlineStr">
        <is>
          <t>GNESTA</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2225-2025</t>
        </is>
      </c>
      <c r="B227" t="inlineStr">
        <is>
          <t>avverkningsanmälan</t>
        </is>
      </c>
      <c r="C227" t="inlineStr">
        <is>
          <t>Föryngringsavverkning</t>
        </is>
      </c>
      <c r="D227" s="1" t="n">
        <v>45673</v>
      </c>
      <c r="E227" s="1" t="n">
        <v>46223</v>
      </c>
      <c r="F227" t="inlineStr">
        <is>
          <t>SÖDERMANLANDS LÄN</t>
        </is>
      </c>
      <c r="G227" t="inlineStr">
        <is>
          <t>GNESTA</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41260-2023</t>
        </is>
      </c>
      <c r="B228" t="inlineStr">
        <is>
          <t>avverkningsanmälan</t>
        </is>
      </c>
      <c r="C228" t="inlineStr">
        <is>
          <t>Föryngringsavverkning</t>
        </is>
      </c>
      <c r="D228" s="1" t="n">
        <v>45174</v>
      </c>
      <c r="E228" s="1" t="n">
        <v>46223</v>
      </c>
      <c r="F228" t="inlineStr">
        <is>
          <t>SÖDERMANLANDS LÄN</t>
        </is>
      </c>
      <c r="G228" t="inlineStr">
        <is>
          <t>GNESTA</t>
        </is>
      </c>
      <c r="I228" t="n">
        <v>5.9</v>
      </c>
      <c r="J228" t="n">
        <v>0</v>
      </c>
      <c r="K228" t="n">
        <v>0</v>
      </c>
      <c r="L228" t="n">
        <v>0</v>
      </c>
      <c r="M228" t="n">
        <v>0</v>
      </c>
      <c r="N228" t="n">
        <v>0</v>
      </c>
      <c r="O228" t="n">
        <v>0</v>
      </c>
      <c r="P228" t="n">
        <v>0</v>
      </c>
      <c r="Q228" t="n">
        <v>0</v>
      </c>
      <c r="R228" t="n">
        <v>0</v>
      </c>
      <c r="S228" t="n">
        <v>0</v>
      </c>
      <c r="T228" t="n">
        <v>0</v>
      </c>
      <c r="U228" s="2" t="inlineStr"/>
    </row>
    <row r="229" ht="15" customHeight="1">
      <c r="A229" t="inlineStr">
        <is>
          <t>A 44050-2023</t>
        </is>
      </c>
      <c r="B229" t="inlineStr">
        <is>
          <t>avverkningsanmälan</t>
        </is>
      </c>
      <c r="C229" t="inlineStr">
        <is>
          <t>Föryngringsavverkning</t>
        </is>
      </c>
      <c r="D229" s="1" t="n">
        <v>45188</v>
      </c>
      <c r="E229" s="1" t="n">
        <v>46223</v>
      </c>
      <c r="F229" t="inlineStr">
        <is>
          <t>SÖDERMANLANDS LÄN</t>
        </is>
      </c>
      <c r="G229" t="inlineStr">
        <is>
          <t>GNESTA</t>
        </is>
      </c>
      <c r="H229" t="inlineStr">
        <is>
          <t>Holmen skog AB</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26084-2026</t>
        </is>
      </c>
      <c r="B230" t="inlineStr">
        <is>
          <t>avverkningsanmälan</t>
        </is>
      </c>
      <c r="C230" t="inlineStr">
        <is>
          <t>Föryngringsavverkning</t>
        </is>
      </c>
      <c r="D230" s="1" t="n">
        <v>46181</v>
      </c>
      <c r="E230" s="1" t="n">
        <v>46223</v>
      </c>
      <c r="F230" t="inlineStr">
        <is>
          <t>SÖDERMANLANDS LÄN</t>
        </is>
      </c>
      <c r="G230" t="inlineStr">
        <is>
          <t>GNESTA</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3620-2025</t>
        </is>
      </c>
      <c r="B231" t="inlineStr">
        <is>
          <t>avverkningsanmälan</t>
        </is>
      </c>
      <c r="C231" t="inlineStr">
        <is>
          <t>Avverkning för annat ändamål</t>
        </is>
      </c>
      <c r="D231" s="1" t="n">
        <v>45681</v>
      </c>
      <c r="E231" s="1" t="n">
        <v>46223</v>
      </c>
      <c r="F231" t="inlineStr">
        <is>
          <t>SÖDERMANLANDS LÄN</t>
        </is>
      </c>
      <c r="G231" t="inlineStr">
        <is>
          <t>GNESTA</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49909-2023</t>
        </is>
      </c>
      <c r="B232" t="inlineStr">
        <is>
          <t>avverkningsanmälan</t>
        </is>
      </c>
      <c r="C232" t="inlineStr">
        <is>
          <t>Föryngringsavverkning</t>
        </is>
      </c>
      <c r="D232" s="1" t="n">
        <v>45214</v>
      </c>
      <c r="E232" s="1" t="n">
        <v>46223</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60295-2023</t>
        </is>
      </c>
      <c r="B233" t="inlineStr">
        <is>
          <t>avverkningsanmälan</t>
        </is>
      </c>
      <c r="C233" t="inlineStr">
        <is>
          <t>Föryngringsavverkning</t>
        </is>
      </c>
      <c r="D233" s="1" t="n">
        <v>45257</v>
      </c>
      <c r="E233" s="1" t="n">
        <v>46223</v>
      </c>
      <c r="F233" t="inlineStr">
        <is>
          <t>SÖDERMANLANDS LÄN</t>
        </is>
      </c>
      <c r="G233" t="inlineStr">
        <is>
          <t>GNESTA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45766-2023</t>
        </is>
      </c>
      <c r="B234" t="inlineStr">
        <is>
          <t>avverkningsanmälan</t>
        </is>
      </c>
      <c r="C234" t="inlineStr">
        <is>
          <t>Föryngringsavverkning</t>
        </is>
      </c>
      <c r="D234" s="1" t="n">
        <v>45195</v>
      </c>
      <c r="E234" s="1" t="n">
        <v>46223</v>
      </c>
      <c r="F234" t="inlineStr">
        <is>
          <t>SÖDERMANLANDS LÄN</t>
        </is>
      </c>
      <c r="G234" t="inlineStr">
        <is>
          <t>GNESTA</t>
        </is>
      </c>
      <c r="I234" t="n">
        <v>6.7</v>
      </c>
      <c r="J234" t="n">
        <v>0</v>
      </c>
      <c r="K234" t="n">
        <v>0</v>
      </c>
      <c r="L234" t="n">
        <v>0</v>
      </c>
      <c r="M234" t="n">
        <v>0</v>
      </c>
      <c r="N234" t="n">
        <v>0</v>
      </c>
      <c r="O234" t="n">
        <v>0</v>
      </c>
      <c r="P234" t="n">
        <v>0</v>
      </c>
      <c r="Q234" t="n">
        <v>0</v>
      </c>
      <c r="R234" t="n">
        <v>0</v>
      </c>
      <c r="S234" t="n">
        <v>0</v>
      </c>
      <c r="T234" t="n">
        <v>0</v>
      </c>
      <c r="U234" s="2" t="inlineStr"/>
    </row>
    <row r="235" ht="15" customHeight="1">
      <c r="A235" t="inlineStr">
        <is>
          <t>A 36205-2022</t>
        </is>
      </c>
      <c r="B235" t="inlineStr">
        <is>
          <t>avverkningsanmälan</t>
        </is>
      </c>
      <c r="C235" t="inlineStr">
        <is>
          <t>Föryngringsavverkning</t>
        </is>
      </c>
      <c r="D235" s="1" t="n">
        <v>44803</v>
      </c>
      <c r="E235" s="1" t="n">
        <v>46223</v>
      </c>
      <c r="F235" t="inlineStr">
        <is>
          <t>SÖDERMANLANDS LÄN</t>
        </is>
      </c>
      <c r="G235" t="inlineStr">
        <is>
          <t>GNESTA</t>
        </is>
      </c>
      <c r="I235" t="n">
        <v>5.8</v>
      </c>
      <c r="J235" t="n">
        <v>0</v>
      </c>
      <c r="K235" t="n">
        <v>0</v>
      </c>
      <c r="L235" t="n">
        <v>0</v>
      </c>
      <c r="M235" t="n">
        <v>0</v>
      </c>
      <c r="N235" t="n">
        <v>0</v>
      </c>
      <c r="O235" t="n">
        <v>0</v>
      </c>
      <c r="P235" t="n">
        <v>0</v>
      </c>
      <c r="Q235" t="n">
        <v>0</v>
      </c>
      <c r="R235" t="n">
        <v>0</v>
      </c>
      <c r="S235" t="n">
        <v>0</v>
      </c>
      <c r="T235" t="n">
        <v>0</v>
      </c>
      <c r="U235" s="2" t="inlineStr"/>
    </row>
    <row r="236" ht="15" customHeight="1">
      <c r="A236" t="inlineStr">
        <is>
          <t>A 30911-2022</t>
        </is>
      </c>
      <c r="B236" t="inlineStr">
        <is>
          <t>avverkningsanmälan</t>
        </is>
      </c>
      <c r="C236" t="inlineStr">
        <is>
          <t>Föryngringsavverkning</t>
        </is>
      </c>
      <c r="D236" s="1" t="n">
        <v>44767</v>
      </c>
      <c r="E236" s="1" t="n">
        <v>46223</v>
      </c>
      <c r="F236" t="inlineStr">
        <is>
          <t>SÖDERMANLANDS LÄN</t>
        </is>
      </c>
      <c r="G236" t="inlineStr">
        <is>
          <t>GNESTA</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6536-2024</t>
        </is>
      </c>
      <c r="B237" t="inlineStr">
        <is>
          <t>avverkningsanmälan</t>
        </is>
      </c>
      <c r="C237" t="inlineStr">
        <is>
          <t>Föryngringsavverkning</t>
        </is>
      </c>
      <c r="D237" s="1" t="n">
        <v>45341</v>
      </c>
      <c r="E237" s="1" t="n">
        <v>46223</v>
      </c>
      <c r="F237" t="inlineStr">
        <is>
          <t>SÖDERMANLANDS LÄN</t>
        </is>
      </c>
      <c r="G237" t="inlineStr">
        <is>
          <t>GNESTA</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42200-2022</t>
        </is>
      </c>
      <c r="B238" t="inlineStr">
        <is>
          <t>avverkningsanmälan</t>
        </is>
      </c>
      <c r="C238" t="inlineStr">
        <is>
          <t>Föryngringsavverkning</t>
        </is>
      </c>
      <c r="D238" s="1" t="n">
        <v>44830</v>
      </c>
      <c r="E238" s="1" t="n">
        <v>46223</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8358-2024</t>
        </is>
      </c>
      <c r="B239" t="inlineStr">
        <is>
          <t>avverkningsanmälan</t>
        </is>
      </c>
      <c r="C239" t="inlineStr">
        <is>
          <t>Föryngringsavverkning</t>
        </is>
      </c>
      <c r="D239" s="1" t="n">
        <v>45352</v>
      </c>
      <c r="E239" s="1" t="n">
        <v>46223</v>
      </c>
      <c r="F239" t="inlineStr">
        <is>
          <t>SÖDERMANLANDS LÄN</t>
        </is>
      </c>
      <c r="G239" t="inlineStr">
        <is>
          <t>GNESTA</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56611-2022</t>
        </is>
      </c>
      <c r="B240" t="inlineStr">
        <is>
          <t>avverkningsanmälan</t>
        </is>
      </c>
      <c r="C240" t="inlineStr">
        <is>
          <t>Föryngringsavverkning</t>
        </is>
      </c>
      <c r="D240" s="1" t="n">
        <v>44893</v>
      </c>
      <c r="E240" s="1" t="n">
        <v>46223</v>
      </c>
      <c r="F240" t="inlineStr">
        <is>
          <t>SÖDERMANLANDS LÄN</t>
        </is>
      </c>
      <c r="G240" t="inlineStr">
        <is>
          <t>GNESTA</t>
        </is>
      </c>
      <c r="I240" t="n">
        <v>5.2</v>
      </c>
      <c r="J240" t="n">
        <v>0</v>
      </c>
      <c r="K240" t="n">
        <v>0</v>
      </c>
      <c r="L240" t="n">
        <v>0</v>
      </c>
      <c r="M240" t="n">
        <v>0</v>
      </c>
      <c r="N240" t="n">
        <v>0</v>
      </c>
      <c r="O240" t="n">
        <v>0</v>
      </c>
      <c r="P240" t="n">
        <v>0</v>
      </c>
      <c r="Q240" t="n">
        <v>0</v>
      </c>
      <c r="R240" t="n">
        <v>0</v>
      </c>
      <c r="S240" t="n">
        <v>0</v>
      </c>
      <c r="T240" t="n">
        <v>0</v>
      </c>
      <c r="U240" s="2" t="inlineStr"/>
    </row>
    <row r="241" ht="15" customHeight="1">
      <c r="A241" t="inlineStr">
        <is>
          <t>A 58428-2022</t>
        </is>
      </c>
      <c r="B241" t="inlineStr">
        <is>
          <t>avverkningsanmälan</t>
        </is>
      </c>
      <c r="C241" t="inlineStr">
        <is>
          <t>Föryngringsavverkning</t>
        </is>
      </c>
      <c r="D241" s="1" t="n">
        <v>44901</v>
      </c>
      <c r="E241" s="1" t="n">
        <v>46223</v>
      </c>
      <c r="F241" t="inlineStr">
        <is>
          <t>SÖDERMANLANDS LÄN</t>
        </is>
      </c>
      <c r="G241" t="inlineStr">
        <is>
          <t>GNESTA</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9884-2025</t>
        </is>
      </c>
      <c r="B242" t="inlineStr">
        <is>
          <t>avverkningsanmälan</t>
        </is>
      </c>
      <c r="C242" t="inlineStr">
        <is>
          <t>Föryngringsavverkning</t>
        </is>
      </c>
      <c r="D242" s="1" t="n">
        <v>45716</v>
      </c>
      <c r="E242" s="1" t="n">
        <v>46223</v>
      </c>
      <c r="F242" t="inlineStr">
        <is>
          <t>SÖDERMANLANDS LÄN</t>
        </is>
      </c>
      <c r="G242" t="inlineStr">
        <is>
          <t>GNESTA</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28816-2026</t>
        </is>
      </c>
      <c r="B243" t="inlineStr">
        <is>
          <t>avverkningsanmälan</t>
        </is>
      </c>
      <c r="C243" t="inlineStr">
        <is>
          <t>Föryngringsavverkning</t>
        </is>
      </c>
      <c r="D243" s="1" t="n">
        <v>46198</v>
      </c>
      <c r="E243" s="1" t="n">
        <v>46223</v>
      </c>
      <c r="F243" t="inlineStr">
        <is>
          <t>SÖDERMANLANDS LÄN</t>
        </is>
      </c>
      <c r="G243" t="inlineStr">
        <is>
          <t>GNESTA</t>
        </is>
      </c>
      <c r="I243" t="n">
        <v>4.1</v>
      </c>
      <c r="J243" t="n">
        <v>0</v>
      </c>
      <c r="K243" t="n">
        <v>0</v>
      </c>
      <c r="L243" t="n">
        <v>0</v>
      </c>
      <c r="M243" t="n">
        <v>0</v>
      </c>
      <c r="N243" t="n">
        <v>0</v>
      </c>
      <c r="O243" t="n">
        <v>0</v>
      </c>
      <c r="P243" t="n">
        <v>0</v>
      </c>
      <c r="Q243" t="n">
        <v>0</v>
      </c>
      <c r="R243" t="n">
        <v>0</v>
      </c>
      <c r="S243" t="n">
        <v>0</v>
      </c>
      <c r="T243" t="n">
        <v>0</v>
      </c>
      <c r="U243" s="2" t="inlineStr"/>
    </row>
    <row r="244" ht="15" customHeight="1">
      <c r="A244" t="inlineStr">
        <is>
          <t>A 28812-2026</t>
        </is>
      </c>
      <c r="B244" t="inlineStr">
        <is>
          <t>avverkningsanmälan</t>
        </is>
      </c>
      <c r="C244" t="inlineStr">
        <is>
          <t>Föryngringsavverkning</t>
        </is>
      </c>
      <c r="D244" s="1" t="n">
        <v>46198</v>
      </c>
      <c r="E244" s="1" t="n">
        <v>46223</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33833-2024</t>
        </is>
      </c>
      <c r="B245" t="inlineStr">
        <is>
          <t>avverkningsanmälan</t>
        </is>
      </c>
      <c r="C245" t="inlineStr">
        <is>
          <t>Föryngringsavverkning</t>
        </is>
      </c>
      <c r="D245" s="1" t="n">
        <v>45520</v>
      </c>
      <c r="E245" s="1" t="n">
        <v>46223</v>
      </c>
      <c r="F245" t="inlineStr">
        <is>
          <t>SÖDERMANLANDS LÄN</t>
        </is>
      </c>
      <c r="G245" t="inlineStr">
        <is>
          <t>GNESTA</t>
        </is>
      </c>
      <c r="H245" t="inlineStr">
        <is>
          <t>Holmen skog AB</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28852-2026</t>
        </is>
      </c>
      <c r="B246" t="inlineStr">
        <is>
          <t>avverkningsanmälan</t>
        </is>
      </c>
      <c r="C246" t="inlineStr">
        <is>
          <t>Föryngringsavverkning</t>
        </is>
      </c>
      <c r="D246" s="1" t="n">
        <v>46198</v>
      </c>
      <c r="E246" s="1" t="n">
        <v>46223</v>
      </c>
      <c r="F246" t="inlineStr">
        <is>
          <t>SÖDERMANLANDS LÄN</t>
        </is>
      </c>
      <c r="G246" t="inlineStr">
        <is>
          <t>GNESTA</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16645-2022</t>
        </is>
      </c>
      <c r="B247" t="inlineStr">
        <is>
          <t>avverkningsanmälan</t>
        </is>
      </c>
      <c r="C247" t="inlineStr">
        <is>
          <t>Föryngringsavverkning</t>
        </is>
      </c>
      <c r="D247" s="1" t="n">
        <v>44672</v>
      </c>
      <c r="E247" s="1" t="n">
        <v>46223</v>
      </c>
      <c r="F247" t="inlineStr">
        <is>
          <t>SÖDERMANLANDS LÄN</t>
        </is>
      </c>
      <c r="G247" t="inlineStr">
        <is>
          <t>GNESTA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28840-2026</t>
        </is>
      </c>
      <c r="B248" t="inlineStr">
        <is>
          <t>avverkningsanmälan</t>
        </is>
      </c>
      <c r="C248" t="inlineStr">
        <is>
          <t>Föryngringsavverkning</t>
        </is>
      </c>
      <c r="D248" s="1" t="n">
        <v>46198</v>
      </c>
      <c r="E248" s="1" t="n">
        <v>46223</v>
      </c>
      <c r="F248" t="inlineStr">
        <is>
          <t>SÖDERMANLANDS LÄN</t>
        </is>
      </c>
      <c r="G248" t="inlineStr">
        <is>
          <t>GNESTA</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5911-2023</t>
        </is>
      </c>
      <c r="B249" t="inlineStr">
        <is>
          <t>avverkningsanmälan</t>
        </is>
      </c>
      <c r="C249" t="inlineStr">
        <is>
          <t>Föryngringsavverkning</t>
        </is>
      </c>
      <c r="D249" s="1" t="n">
        <v>44963</v>
      </c>
      <c r="E249" s="1" t="n">
        <v>46223</v>
      </c>
      <c r="F249" t="inlineStr">
        <is>
          <t>SÖDERMANLANDS LÄN</t>
        </is>
      </c>
      <c r="G249" t="inlineStr">
        <is>
          <t>GNESTA</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2476-2022</t>
        </is>
      </c>
      <c r="B250" t="inlineStr">
        <is>
          <t>avverkningsanmälan</t>
        </is>
      </c>
      <c r="C250" t="inlineStr">
        <is>
          <t>Föryngringsavverkning</t>
        </is>
      </c>
      <c r="D250" s="1" t="n">
        <v>44579</v>
      </c>
      <c r="E250" s="1" t="n">
        <v>46223</v>
      </c>
      <c r="F250" t="inlineStr">
        <is>
          <t>SÖDERMANLANDS LÄN</t>
        </is>
      </c>
      <c r="G250" t="inlineStr">
        <is>
          <t>GNESTA</t>
        </is>
      </c>
      <c r="I250" t="n">
        <v>4.3</v>
      </c>
      <c r="J250" t="n">
        <v>0</v>
      </c>
      <c r="K250" t="n">
        <v>0</v>
      </c>
      <c r="L250" t="n">
        <v>0</v>
      </c>
      <c r="M250" t="n">
        <v>0</v>
      </c>
      <c r="N250" t="n">
        <v>0</v>
      </c>
      <c r="O250" t="n">
        <v>0</v>
      </c>
      <c r="P250" t="n">
        <v>0</v>
      </c>
      <c r="Q250" t="n">
        <v>0</v>
      </c>
      <c r="R250" t="n">
        <v>0</v>
      </c>
      <c r="S250" t="n">
        <v>0</v>
      </c>
      <c r="T250" t="n">
        <v>0</v>
      </c>
      <c r="U250" s="2" t="inlineStr"/>
    </row>
    <row r="251" ht="15" customHeight="1">
      <c r="A251" t="inlineStr">
        <is>
          <t>A 28811-2026</t>
        </is>
      </c>
      <c r="B251" t="inlineStr">
        <is>
          <t>avverkningsanmälan</t>
        </is>
      </c>
      <c r="C251" t="inlineStr">
        <is>
          <t>Föryngringsavverkning</t>
        </is>
      </c>
      <c r="D251" s="1" t="n">
        <v>46198</v>
      </c>
      <c r="E251" s="1" t="n">
        <v>46223</v>
      </c>
      <c r="F251" t="inlineStr">
        <is>
          <t>SÖDERMANLANDS LÄN</t>
        </is>
      </c>
      <c r="G251" t="inlineStr">
        <is>
          <t>GNESTA</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28823-2026</t>
        </is>
      </c>
      <c r="B252" t="inlineStr">
        <is>
          <t>avverkningsanmälan</t>
        </is>
      </c>
      <c r="C252" t="inlineStr">
        <is>
          <t>Föryngringsavverkning</t>
        </is>
      </c>
      <c r="D252" s="1" t="n">
        <v>46198</v>
      </c>
      <c r="E252" s="1" t="n">
        <v>46223</v>
      </c>
      <c r="F252" t="inlineStr">
        <is>
          <t>SÖDERMANLANDS LÄN</t>
        </is>
      </c>
      <c r="G252" t="inlineStr">
        <is>
          <t>GNESTA</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28848-2026</t>
        </is>
      </c>
      <c r="B253" t="inlineStr">
        <is>
          <t>avverkningsanmälan</t>
        </is>
      </c>
      <c r="C253" t="inlineStr">
        <is>
          <t>Föryngringsavverkning</t>
        </is>
      </c>
      <c r="D253" s="1" t="n">
        <v>46198</v>
      </c>
      <c r="E253" s="1" t="n">
        <v>46223</v>
      </c>
      <c r="F253" t="inlineStr">
        <is>
          <t>SÖDERMANLANDS LÄN</t>
        </is>
      </c>
      <c r="G253" t="inlineStr">
        <is>
          <t>GNESTA</t>
        </is>
      </c>
      <c r="I253" t="n">
        <v>3.3</v>
      </c>
      <c r="J253" t="n">
        <v>0</v>
      </c>
      <c r="K253" t="n">
        <v>0</v>
      </c>
      <c r="L253" t="n">
        <v>0</v>
      </c>
      <c r="M253" t="n">
        <v>0</v>
      </c>
      <c r="N253" t="n">
        <v>0</v>
      </c>
      <c r="O253" t="n">
        <v>0</v>
      </c>
      <c r="P253" t="n">
        <v>0</v>
      </c>
      <c r="Q253" t="n">
        <v>0</v>
      </c>
      <c r="R253" t="n">
        <v>0</v>
      </c>
      <c r="S253" t="n">
        <v>0</v>
      </c>
      <c r="T253" t="n">
        <v>0</v>
      </c>
      <c r="U253" s="2" t="inlineStr"/>
    </row>
    <row r="254" ht="15" customHeight="1">
      <c r="A254" t="inlineStr">
        <is>
          <t>A 28850-2026</t>
        </is>
      </c>
      <c r="B254" t="inlineStr">
        <is>
          <t>avverkningsanmälan</t>
        </is>
      </c>
      <c r="C254" t="inlineStr">
        <is>
          <t>Föryngringsavverkning</t>
        </is>
      </c>
      <c r="D254" s="1" t="n">
        <v>46198</v>
      </c>
      <c r="E254" s="1" t="n">
        <v>46223</v>
      </c>
      <c r="F254" t="inlineStr">
        <is>
          <t>SÖDERMANLANDS LÄN</t>
        </is>
      </c>
      <c r="G254" t="inlineStr">
        <is>
          <t>GNESTA</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47314-2021</t>
        </is>
      </c>
      <c r="B255" t="inlineStr">
        <is>
          <t>avverkningsanmälan</t>
        </is>
      </c>
      <c r="C255" t="inlineStr">
        <is>
          <t>Föryngringsavverkning</t>
        </is>
      </c>
      <c r="D255" s="1" t="n">
        <v>44447</v>
      </c>
      <c r="E255" s="1" t="n">
        <v>46223</v>
      </c>
      <c r="F255" t="inlineStr">
        <is>
          <t>SÖDERMANLANDS LÄN</t>
        </is>
      </c>
      <c r="G255" t="inlineStr">
        <is>
          <t>GNESTA</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30627-2024</t>
        </is>
      </c>
      <c r="B256" t="inlineStr">
        <is>
          <t>avverkningsanmälan</t>
        </is>
      </c>
      <c r="C256" t="inlineStr">
        <is>
          <t>Föryngringsavverkning</t>
        </is>
      </c>
      <c r="D256" s="1" t="n">
        <v>45495</v>
      </c>
      <c r="E256" s="1" t="n">
        <v>46223</v>
      </c>
      <c r="F256" t="inlineStr">
        <is>
          <t>SÖDERMANLANDS LÄN</t>
        </is>
      </c>
      <c r="G256" t="inlineStr">
        <is>
          <t>GNESTA</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10662-2024</t>
        </is>
      </c>
      <c r="B257" t="inlineStr">
        <is>
          <t>avverkningsanmälan</t>
        </is>
      </c>
      <c r="C257" t="inlineStr">
        <is>
          <t>Föryngringsavverkning</t>
        </is>
      </c>
      <c r="D257" s="1" t="n">
        <v>45369</v>
      </c>
      <c r="E257" s="1" t="n">
        <v>46223</v>
      </c>
      <c r="F257" t="inlineStr">
        <is>
          <t>SÖDERMANLANDS LÄN</t>
        </is>
      </c>
      <c r="G257" t="inlineStr">
        <is>
          <t>GNESTA</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62020-2022</t>
        </is>
      </c>
      <c r="B258" t="inlineStr">
        <is>
          <t>avverkningsanmälan</t>
        </is>
      </c>
      <c r="C258" t="inlineStr">
        <is>
          <t>Föryngringsavverkning</t>
        </is>
      </c>
      <c r="D258" s="1" t="n">
        <v>44918</v>
      </c>
      <c r="E258" s="1" t="n">
        <v>46223</v>
      </c>
      <c r="F258" t="inlineStr">
        <is>
          <t>SÖDERMANLANDS LÄN</t>
        </is>
      </c>
      <c r="G258" t="inlineStr">
        <is>
          <t>GNESTA</t>
        </is>
      </c>
      <c r="H258" t="inlineStr">
        <is>
          <t>Kommuner</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55619-2024</t>
        </is>
      </c>
      <c r="B259" t="inlineStr">
        <is>
          <t>avverkningsanmälan</t>
        </is>
      </c>
      <c r="C259" t="inlineStr">
        <is>
          <t>Föryngringsavverkning</t>
        </is>
      </c>
      <c r="D259" s="1" t="n">
        <v>45622</v>
      </c>
      <c r="E259" s="1" t="n">
        <v>46223</v>
      </c>
      <c r="F259" t="inlineStr">
        <is>
          <t>SÖDERMANLANDS LÄN</t>
        </is>
      </c>
      <c r="G259" t="inlineStr">
        <is>
          <t>GNESTA</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19364-2024</t>
        </is>
      </c>
      <c r="B260" t="inlineStr">
        <is>
          <t>avverkningsanmälan</t>
        </is>
      </c>
      <c r="C260" t="inlineStr">
        <is>
          <t>Föryngringsavverkning</t>
        </is>
      </c>
      <c r="D260" s="1" t="n">
        <v>45429</v>
      </c>
      <c r="E260" s="1" t="n">
        <v>46223</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41728-2021</t>
        </is>
      </c>
      <c r="B261" t="inlineStr">
        <is>
          <t>avverkningsanmälan</t>
        </is>
      </c>
      <c r="C261" t="inlineStr">
        <is>
          <t>Föryngringsavverkning</t>
        </is>
      </c>
      <c r="D261" s="1" t="n">
        <v>44425</v>
      </c>
      <c r="E261" s="1" t="n">
        <v>46223</v>
      </c>
      <c r="F261" t="inlineStr">
        <is>
          <t>SÖDERMANLANDS LÄN</t>
        </is>
      </c>
      <c r="G261" t="inlineStr">
        <is>
          <t>GNESTA</t>
        </is>
      </c>
      <c r="I261" t="n">
        <v>8.1</v>
      </c>
      <c r="J261" t="n">
        <v>0</v>
      </c>
      <c r="K261" t="n">
        <v>0</v>
      </c>
      <c r="L261" t="n">
        <v>0</v>
      </c>
      <c r="M261" t="n">
        <v>0</v>
      </c>
      <c r="N261" t="n">
        <v>0</v>
      </c>
      <c r="O261" t="n">
        <v>0</v>
      </c>
      <c r="P261" t="n">
        <v>0</v>
      </c>
      <c r="Q261" t="n">
        <v>0</v>
      </c>
      <c r="R261" t="n">
        <v>0</v>
      </c>
      <c r="S261" t="n">
        <v>0</v>
      </c>
      <c r="T261" t="n">
        <v>0</v>
      </c>
      <c r="U261" s="2" t="inlineStr"/>
    </row>
    <row r="262" ht="15" customHeight="1">
      <c r="A262" t="inlineStr">
        <is>
          <t>A 51375-2022</t>
        </is>
      </c>
      <c r="B262" t="inlineStr">
        <is>
          <t>avverkningsanmälan</t>
        </is>
      </c>
      <c r="C262" t="inlineStr">
        <is>
          <t>Föryngringsavverkning</t>
        </is>
      </c>
      <c r="D262" s="1" t="n">
        <v>44869</v>
      </c>
      <c r="E262" s="1" t="n">
        <v>46223</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44627-2023</t>
        </is>
      </c>
      <c r="B263" t="inlineStr">
        <is>
          <t>avverkningsanmälan</t>
        </is>
      </c>
      <c r="C263" t="inlineStr">
        <is>
          <t>Föryngringsavverkning</t>
        </is>
      </c>
      <c r="D263" s="1" t="n">
        <v>45189</v>
      </c>
      <c r="E263" s="1" t="n">
        <v>46223</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5928-2023</t>
        </is>
      </c>
      <c r="B264" t="inlineStr">
        <is>
          <t>avverkningsanmälan</t>
        </is>
      </c>
      <c r="C264" t="inlineStr">
        <is>
          <t>Föryngringsavverkning</t>
        </is>
      </c>
      <c r="D264" s="1" t="n">
        <v>44963</v>
      </c>
      <c r="E264" s="1" t="n">
        <v>46223</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30135-2026</t>
        </is>
      </c>
      <c r="B265" t="inlineStr">
        <is>
          <t>avverkningsanmälan</t>
        </is>
      </c>
      <c r="C265" t="inlineStr">
        <is>
          <t>Föryngringsavverkning</t>
        </is>
      </c>
      <c r="D265" s="1" t="n">
        <v>46206</v>
      </c>
      <c r="E265" s="1" t="n">
        <v>46223</v>
      </c>
      <c r="F265" t="inlineStr">
        <is>
          <t>SÖDERMANLANDS LÄN</t>
        </is>
      </c>
      <c r="G265" t="inlineStr">
        <is>
          <t>GNESTA</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20986-2023</t>
        </is>
      </c>
      <c r="B266" t="inlineStr">
        <is>
          <t>avverkningsanmälan</t>
        </is>
      </c>
      <c r="C266" t="inlineStr">
        <is>
          <t>Föryngringsavverkning</t>
        </is>
      </c>
      <c r="D266" s="1" t="n">
        <v>45061</v>
      </c>
      <c r="E266" s="1" t="n">
        <v>46223</v>
      </c>
      <c r="F266" t="inlineStr">
        <is>
          <t>SÖDERMANLANDS LÄN</t>
        </is>
      </c>
      <c r="G266" t="inlineStr">
        <is>
          <t>GNESTA</t>
        </is>
      </c>
      <c r="H266" t="inlineStr">
        <is>
          <t>Övriga Aktiebolag</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26138-2024</t>
        </is>
      </c>
      <c r="B267" t="inlineStr">
        <is>
          <t>avverkningsanmälan</t>
        </is>
      </c>
      <c r="C267" t="inlineStr">
        <is>
          <t>Föryngringsavverkning</t>
        </is>
      </c>
      <c r="D267" s="1" t="n">
        <v>45468</v>
      </c>
      <c r="E267" s="1" t="n">
        <v>46223</v>
      </c>
      <c r="F267" t="inlineStr">
        <is>
          <t>SÖDERMANLANDS LÄN</t>
        </is>
      </c>
      <c r="G267" t="inlineStr">
        <is>
          <t>GNESTA</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26141-2024</t>
        </is>
      </c>
      <c r="B268" t="inlineStr">
        <is>
          <t>avverkningsanmälan</t>
        </is>
      </c>
      <c r="C268" t="inlineStr">
        <is>
          <t>Föryngringsavverkning</t>
        </is>
      </c>
      <c r="D268" s="1" t="n">
        <v>45468</v>
      </c>
      <c r="E268" s="1" t="n">
        <v>46223</v>
      </c>
      <c r="F268" t="inlineStr">
        <is>
          <t>SÖDERMANLANDS LÄN</t>
        </is>
      </c>
      <c r="G268" t="inlineStr">
        <is>
          <t>GNESTA</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62247-2022</t>
        </is>
      </c>
      <c r="B269" t="inlineStr">
        <is>
          <t>avverkningsanmälan</t>
        </is>
      </c>
      <c r="C269" t="inlineStr">
        <is>
          <t>Föryngringsavverkning</t>
        </is>
      </c>
      <c r="D269" s="1" t="n">
        <v>44922</v>
      </c>
      <c r="E269" s="1" t="n">
        <v>46223</v>
      </c>
      <c r="F269" t="inlineStr">
        <is>
          <t>SÖDERMANLANDS LÄN</t>
        </is>
      </c>
      <c r="G269" t="inlineStr">
        <is>
          <t>GNESTA</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22228-2024</t>
        </is>
      </c>
      <c r="B270" t="inlineStr">
        <is>
          <t>avverkningsanmälan</t>
        </is>
      </c>
      <c r="C270" t="inlineStr">
        <is>
          <t>Föryngringsavverkning</t>
        </is>
      </c>
      <c r="D270" s="1" t="n">
        <v>45446</v>
      </c>
      <c r="E270" s="1" t="n">
        <v>46223</v>
      </c>
      <c r="F270" t="inlineStr">
        <is>
          <t>SÖDERMANLANDS LÄN</t>
        </is>
      </c>
      <c r="G270" t="inlineStr">
        <is>
          <t>GNESTA</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30130-2026</t>
        </is>
      </c>
      <c r="B271" t="inlineStr">
        <is>
          <t>avverkningsanmälan</t>
        </is>
      </c>
      <c r="C271" t="inlineStr">
        <is>
          <t>Föryngringsavverkning</t>
        </is>
      </c>
      <c r="D271" s="1" t="n">
        <v>46206</v>
      </c>
      <c r="E271" s="1" t="n">
        <v>46223</v>
      </c>
      <c r="F271" t="inlineStr">
        <is>
          <t>SÖDERMANLANDS LÄN</t>
        </is>
      </c>
      <c r="G271" t="inlineStr">
        <is>
          <t>GNESTA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34696-2022</t>
        </is>
      </c>
      <c r="B272" t="inlineStr">
        <is>
          <t>avverkningsanmälan</t>
        </is>
      </c>
      <c r="C272" t="inlineStr">
        <is>
          <t>Föryngringsavverkning</t>
        </is>
      </c>
      <c r="D272" s="1" t="n">
        <v>44795</v>
      </c>
      <c r="E272" s="1" t="n">
        <v>46223</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7214-2023</t>
        </is>
      </c>
      <c r="B273" t="inlineStr">
        <is>
          <t>avverkningsanmälan</t>
        </is>
      </c>
      <c r="C273" t="inlineStr">
        <is>
          <t>Föryngringsavverkning</t>
        </is>
      </c>
      <c r="D273" s="1" t="n">
        <v>44970</v>
      </c>
      <c r="E273" s="1" t="n">
        <v>46223</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30754-2026</t>
        </is>
      </c>
      <c r="B274" t="inlineStr">
        <is>
          <t>avverkningsanmälan</t>
        </is>
      </c>
      <c r="C274" t="inlineStr">
        <is>
          <t>Avverkning för annat ändamål</t>
        </is>
      </c>
      <c r="D274" s="1" t="n">
        <v>46212</v>
      </c>
      <c r="E274" s="1" t="n">
        <v>46223</v>
      </c>
      <c r="F274" t="inlineStr">
        <is>
          <t>SÖDERMANLANDS LÄN</t>
        </is>
      </c>
      <c r="G274" t="inlineStr">
        <is>
          <t>GNESTA</t>
        </is>
      </c>
      <c r="H274" t="inlineStr">
        <is>
          <t>Övriga Aktiebolag</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36333-2023</t>
        </is>
      </c>
      <c r="B275" t="inlineStr">
        <is>
          <t>avverkningsanmälan</t>
        </is>
      </c>
      <c r="C275" t="inlineStr">
        <is>
          <t>Föryngringsavverkning</t>
        </is>
      </c>
      <c r="D275" s="1" t="n">
        <v>45152</v>
      </c>
      <c r="E275" s="1" t="n">
        <v>46223</v>
      </c>
      <c r="F275" t="inlineStr">
        <is>
          <t>SÖDERMANLANDS LÄN</t>
        </is>
      </c>
      <c r="G275" t="inlineStr">
        <is>
          <t>GNESTA</t>
        </is>
      </c>
      <c r="I275" t="n">
        <v>4.9</v>
      </c>
      <c r="J275" t="n">
        <v>0</v>
      </c>
      <c r="K275" t="n">
        <v>0</v>
      </c>
      <c r="L275" t="n">
        <v>0</v>
      </c>
      <c r="M275" t="n">
        <v>0</v>
      </c>
      <c r="N275" t="n">
        <v>0</v>
      </c>
      <c r="O275" t="n">
        <v>0</v>
      </c>
      <c r="P275" t="n">
        <v>0</v>
      </c>
      <c r="Q275" t="n">
        <v>0</v>
      </c>
      <c r="R275" t="n">
        <v>0</v>
      </c>
      <c r="S275" t="n">
        <v>0</v>
      </c>
      <c r="T275" t="n">
        <v>0</v>
      </c>
      <c r="U275" s="2" t="inlineStr"/>
    </row>
    <row r="276" ht="15" customHeight="1">
      <c r="A276" t="inlineStr">
        <is>
          <t>A 57930-2023</t>
        </is>
      </c>
      <c r="B276" t="inlineStr">
        <is>
          <t>avverkningsanmälan</t>
        </is>
      </c>
      <c r="C276" t="inlineStr">
        <is>
          <t>Föryngringsavverkning</t>
        </is>
      </c>
      <c r="D276" s="1" t="n">
        <v>45247</v>
      </c>
      <c r="E276" s="1" t="n">
        <v>46223</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18406-2023</t>
        </is>
      </c>
      <c r="B277" t="inlineStr">
        <is>
          <t>avverkningsanmälan</t>
        </is>
      </c>
      <c r="C277" t="inlineStr">
        <is>
          <t>Avverkning för att bevara och utveckla /försöksver</t>
        </is>
      </c>
      <c r="D277" s="1" t="n">
        <v>45042</v>
      </c>
      <c r="E277" s="1" t="n">
        <v>46223</v>
      </c>
      <c r="F277" t="inlineStr">
        <is>
          <t>SÖDERMANLANDS LÄN</t>
        </is>
      </c>
      <c r="G277" t="inlineStr">
        <is>
          <t>GNESTA</t>
        </is>
      </c>
      <c r="H277" t="inlineStr">
        <is>
          <t>Holmen skog AB</t>
        </is>
      </c>
      <c r="I277" t="n">
        <v>3.7</v>
      </c>
      <c r="J277" t="n">
        <v>0</v>
      </c>
      <c r="K277" t="n">
        <v>0</v>
      </c>
      <c r="L277" t="n">
        <v>0</v>
      </c>
      <c r="M277" t="n">
        <v>0</v>
      </c>
      <c r="N277" t="n">
        <v>0</v>
      </c>
      <c r="O277" t="n">
        <v>0</v>
      </c>
      <c r="P277" t="n">
        <v>0</v>
      </c>
      <c r="Q277" t="n">
        <v>0</v>
      </c>
      <c r="R277" t="n">
        <v>0</v>
      </c>
      <c r="S277" t="n">
        <v>0</v>
      </c>
      <c r="T277" t="n">
        <v>0</v>
      </c>
      <c r="U277" s="2" t="inlineStr"/>
    </row>
    <row r="278" ht="15" customHeight="1">
      <c r="A278" t="inlineStr">
        <is>
          <t>A 41600-2021</t>
        </is>
      </c>
      <c r="B278" t="inlineStr">
        <is>
          <t>avverkningsanmälan</t>
        </is>
      </c>
      <c r="C278" t="inlineStr">
        <is>
          <t>Föryngringsavverkning</t>
        </is>
      </c>
      <c r="D278" s="1" t="n">
        <v>44425</v>
      </c>
      <c r="E278" s="1" t="n">
        <v>46223</v>
      </c>
      <c r="F278" t="inlineStr">
        <is>
          <t>SÖDERMANLANDS LÄN</t>
        </is>
      </c>
      <c r="G278" t="inlineStr">
        <is>
          <t>GNESTA</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59471-2022</t>
        </is>
      </c>
      <c r="B279" t="inlineStr">
        <is>
          <t>avverkningsanmälan</t>
        </is>
      </c>
      <c r="C279" t="inlineStr">
        <is>
          <t>Föryngringsavverkning</t>
        </is>
      </c>
      <c r="D279" s="1" t="n">
        <v>44907</v>
      </c>
      <c r="E279" s="1" t="n">
        <v>46223</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61134-2024</t>
        </is>
      </c>
      <c r="B280" t="inlineStr">
        <is>
          <t>avverkningsanmälan</t>
        </is>
      </c>
      <c r="C280" t="inlineStr">
        <is>
          <t>Föryngringsavverkning</t>
        </is>
      </c>
      <c r="D280" s="1" t="n">
        <v>45645</v>
      </c>
      <c r="E280" s="1" t="n">
        <v>46223</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34596-2023</t>
        </is>
      </c>
      <c r="B281" t="inlineStr">
        <is>
          <t>avverkningsanmälan</t>
        </is>
      </c>
      <c r="C281" t="inlineStr">
        <is>
          <t>Föryngringsavverkning</t>
        </is>
      </c>
      <c r="D281" s="1" t="n">
        <v>45140</v>
      </c>
      <c r="E281" s="1" t="n">
        <v>46223</v>
      </c>
      <c r="F281" t="inlineStr">
        <is>
          <t>SÖDERMANLANDS LÄN</t>
        </is>
      </c>
      <c r="G281" t="inlineStr">
        <is>
          <t>GNESTA</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34091-2024</t>
        </is>
      </c>
      <c r="B282" t="inlineStr">
        <is>
          <t>avverkningsanmälan</t>
        </is>
      </c>
      <c r="C282" t="inlineStr">
        <is>
          <t>Föryngringsavverkning</t>
        </is>
      </c>
      <c r="D282" s="1" t="n">
        <v>45523</v>
      </c>
      <c r="E282" s="1" t="n">
        <v>46223</v>
      </c>
      <c r="F282" t="inlineStr">
        <is>
          <t>SÖDERMANLANDS LÄN</t>
        </is>
      </c>
      <c r="G282" t="inlineStr">
        <is>
          <t>GNESTA</t>
        </is>
      </c>
      <c r="H282" t="inlineStr">
        <is>
          <t>Holmen skog AB</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7653-2023</t>
        </is>
      </c>
      <c r="B283" t="inlineStr">
        <is>
          <t>avverkningsanmälan</t>
        </is>
      </c>
      <c r="C283" t="inlineStr">
        <is>
          <t>Föryngringsavverkning</t>
        </is>
      </c>
      <c r="D283" s="1" t="n">
        <v>44972</v>
      </c>
      <c r="E283" s="1" t="n">
        <v>46223</v>
      </c>
      <c r="F283" t="inlineStr">
        <is>
          <t>SÖDERMANLANDS LÄN</t>
        </is>
      </c>
      <c r="G283" t="inlineStr">
        <is>
          <t>GNESTA</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7735-2023</t>
        </is>
      </c>
      <c r="B284" t="inlineStr">
        <is>
          <t>avverkningsanmälan</t>
        </is>
      </c>
      <c r="C284" t="inlineStr">
        <is>
          <t>Föryngringsavverkning</t>
        </is>
      </c>
      <c r="D284" s="1" t="n">
        <v>44973</v>
      </c>
      <c r="E284" s="1" t="n">
        <v>46223</v>
      </c>
      <c r="F284" t="inlineStr">
        <is>
          <t>SÖDERMANLANDS LÄN</t>
        </is>
      </c>
      <c r="G284" t="inlineStr">
        <is>
          <t>GNESTA</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62883-2023</t>
        </is>
      </c>
      <c r="B285" t="inlineStr">
        <is>
          <t>avverkningsanmälan</t>
        </is>
      </c>
      <c r="C285" t="inlineStr">
        <is>
          <t>Föryngringsavverkning</t>
        </is>
      </c>
      <c r="D285" s="1" t="n">
        <v>45272</v>
      </c>
      <c r="E285" s="1" t="n">
        <v>46223</v>
      </c>
      <c r="F285" t="inlineStr">
        <is>
          <t>SÖDERMANLANDS LÄN</t>
        </is>
      </c>
      <c r="G285" t="inlineStr">
        <is>
          <t>GNESTA</t>
        </is>
      </c>
      <c r="I285" t="n">
        <v>4.3</v>
      </c>
      <c r="J285" t="n">
        <v>0</v>
      </c>
      <c r="K285" t="n">
        <v>0</v>
      </c>
      <c r="L285" t="n">
        <v>0</v>
      </c>
      <c r="M285" t="n">
        <v>0</v>
      </c>
      <c r="N285" t="n">
        <v>0</v>
      </c>
      <c r="O285" t="n">
        <v>0</v>
      </c>
      <c r="P285" t="n">
        <v>0</v>
      </c>
      <c r="Q285" t="n">
        <v>0</v>
      </c>
      <c r="R285" t="n">
        <v>0</v>
      </c>
      <c r="S285" t="n">
        <v>0</v>
      </c>
      <c r="T285" t="n">
        <v>0</v>
      </c>
      <c r="U285" s="2" t="inlineStr"/>
    </row>
    <row r="286" ht="15" customHeight="1">
      <c r="A286" t="inlineStr">
        <is>
          <t>A 5233-2025</t>
        </is>
      </c>
      <c r="B286" t="inlineStr">
        <is>
          <t>avverkningsanmälan</t>
        </is>
      </c>
      <c r="C286" t="inlineStr">
        <is>
          <t>Föryngringsavverkning</t>
        </is>
      </c>
      <c r="D286" s="1" t="n">
        <v>45691</v>
      </c>
      <c r="E286" s="1" t="n">
        <v>46223</v>
      </c>
      <c r="F286" t="inlineStr">
        <is>
          <t>SÖDERMANLANDS LÄN</t>
        </is>
      </c>
      <c r="G286" t="inlineStr">
        <is>
          <t>GNESTA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59380-2023</t>
        </is>
      </c>
      <c r="B287" t="inlineStr">
        <is>
          <t>avverkningsanmälan</t>
        </is>
      </c>
      <c r="C287" t="inlineStr">
        <is>
          <t>Föryngringsavverkning</t>
        </is>
      </c>
      <c r="D287" s="1" t="n">
        <v>45253</v>
      </c>
      <c r="E287" s="1" t="n">
        <v>46223</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60948-2024</t>
        </is>
      </c>
      <c r="B288" t="inlineStr">
        <is>
          <t>avverkningsanmälan</t>
        </is>
      </c>
      <c r="C288" t="inlineStr">
        <is>
          <t>Föryngringsavverkning</t>
        </is>
      </c>
      <c r="D288" s="1" t="n">
        <v>45645</v>
      </c>
      <c r="E288" s="1" t="n">
        <v>46223</v>
      </c>
      <c r="F288" t="inlineStr">
        <is>
          <t>SÖDERMANLANDS LÄN</t>
        </is>
      </c>
      <c r="G288" t="inlineStr">
        <is>
          <t>GNESTA</t>
        </is>
      </c>
      <c r="H288" t="inlineStr">
        <is>
          <t>Holmen skog AB</t>
        </is>
      </c>
      <c r="I288" t="n">
        <v>3.3</v>
      </c>
      <c r="J288" t="n">
        <v>0</v>
      </c>
      <c r="K288" t="n">
        <v>0</v>
      </c>
      <c r="L288" t="n">
        <v>0</v>
      </c>
      <c r="M288" t="n">
        <v>0</v>
      </c>
      <c r="N288" t="n">
        <v>0</v>
      </c>
      <c r="O288" t="n">
        <v>0</v>
      </c>
      <c r="P288" t="n">
        <v>0</v>
      </c>
      <c r="Q288" t="n">
        <v>0</v>
      </c>
      <c r="R288" t="n">
        <v>0</v>
      </c>
      <c r="S288" t="n">
        <v>0</v>
      </c>
      <c r="T288" t="n">
        <v>0</v>
      </c>
      <c r="U288" s="2" t="inlineStr"/>
    </row>
    <row r="289" ht="15" customHeight="1">
      <c r="A289" t="inlineStr">
        <is>
          <t>A 25915-2024</t>
        </is>
      </c>
      <c r="B289" t="inlineStr">
        <is>
          <t>avverkningsanmälan</t>
        </is>
      </c>
      <c r="C289" t="inlineStr">
        <is>
          <t>Föryngringsavverkning</t>
        </is>
      </c>
      <c r="D289" s="1" t="n">
        <v>45467</v>
      </c>
      <c r="E289" s="1" t="n">
        <v>46223</v>
      </c>
      <c r="F289" t="inlineStr">
        <is>
          <t>SÖDERMANLANDS LÄN</t>
        </is>
      </c>
      <c r="G289" t="inlineStr">
        <is>
          <t>GNESTA</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55864-2023</t>
        </is>
      </c>
      <c r="B290" t="inlineStr">
        <is>
          <t>avverkningsanmälan</t>
        </is>
      </c>
      <c r="C290" t="inlineStr">
        <is>
          <t>Föryngringsavverkning</t>
        </is>
      </c>
      <c r="D290" s="1" t="n">
        <v>45239</v>
      </c>
      <c r="E290" s="1" t="n">
        <v>46223</v>
      </c>
      <c r="F290" t="inlineStr">
        <is>
          <t>SÖDERMANLANDS LÄN</t>
        </is>
      </c>
      <c r="G290" t="inlineStr">
        <is>
          <t>GNESTA</t>
        </is>
      </c>
      <c r="I290" t="n">
        <v>8</v>
      </c>
      <c r="J290" t="n">
        <v>0</v>
      </c>
      <c r="K290" t="n">
        <v>0</v>
      </c>
      <c r="L290" t="n">
        <v>0</v>
      </c>
      <c r="M290" t="n">
        <v>0</v>
      </c>
      <c r="N290" t="n">
        <v>0</v>
      </c>
      <c r="O290" t="n">
        <v>0</v>
      </c>
      <c r="P290" t="n">
        <v>0</v>
      </c>
      <c r="Q290" t="n">
        <v>0</v>
      </c>
      <c r="R290" t="n">
        <v>0</v>
      </c>
      <c r="S290" t="n">
        <v>0</v>
      </c>
      <c r="T290" t="n">
        <v>0</v>
      </c>
      <c r="U290" s="2" t="inlineStr"/>
    </row>
    <row r="291" ht="15" customHeight="1">
      <c r="A291" t="inlineStr">
        <is>
          <t>A 64-2024</t>
        </is>
      </c>
      <c r="B291" t="inlineStr">
        <is>
          <t>avverkningsanmälan</t>
        </is>
      </c>
      <c r="C291" t="inlineStr">
        <is>
          <t>Föryngringsavverkning</t>
        </is>
      </c>
      <c r="D291" s="1" t="n">
        <v>45293</v>
      </c>
      <c r="E291" s="1" t="n">
        <v>46223</v>
      </c>
      <c r="F291" t="inlineStr">
        <is>
          <t>SÖDERMANLANDS LÄN</t>
        </is>
      </c>
      <c r="G291" t="inlineStr">
        <is>
          <t>GNESTA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30638-2024</t>
        </is>
      </c>
      <c r="B292" t="inlineStr">
        <is>
          <t>avverkningsanmälan</t>
        </is>
      </c>
      <c r="C292" t="inlineStr">
        <is>
          <t>Föryngringsavverkning</t>
        </is>
      </c>
      <c r="D292" s="1" t="n">
        <v>45495</v>
      </c>
      <c r="E292" s="1" t="n">
        <v>46223</v>
      </c>
      <c r="F292" t="inlineStr">
        <is>
          <t>SÖDERMANLANDS LÄN</t>
        </is>
      </c>
      <c r="G292" t="inlineStr">
        <is>
          <t>GNESTA</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10331-2025</t>
        </is>
      </c>
      <c r="B293" t="inlineStr">
        <is>
          <t>avverkningsanmälan</t>
        </is>
      </c>
      <c r="C293" t="inlineStr">
        <is>
          <t>Föryngringsavverkning</t>
        </is>
      </c>
      <c r="D293" s="1" t="n">
        <v>45720</v>
      </c>
      <c r="E293" s="1" t="n">
        <v>46223</v>
      </c>
      <c r="F293" t="inlineStr">
        <is>
          <t>SÖDERMANLANDS LÄN</t>
        </is>
      </c>
      <c r="G293" t="inlineStr">
        <is>
          <t>GNESTA</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24170-2025</t>
        </is>
      </c>
      <c r="B294" t="inlineStr">
        <is>
          <t>avverkningsanmälan</t>
        </is>
      </c>
      <c r="C294" t="inlineStr">
        <is>
          <t>Föryngringsavverkning</t>
        </is>
      </c>
      <c r="D294" s="1" t="n">
        <v>45796</v>
      </c>
      <c r="E294" s="1" t="n">
        <v>46223</v>
      </c>
      <c r="F294" t="inlineStr">
        <is>
          <t>SÖDERMANLANDS LÄN</t>
        </is>
      </c>
      <c r="G294" t="inlineStr">
        <is>
          <t>GNESTA</t>
        </is>
      </c>
      <c r="I294" t="n">
        <v>3.5</v>
      </c>
      <c r="J294" t="n">
        <v>0</v>
      </c>
      <c r="K294" t="n">
        <v>0</v>
      </c>
      <c r="L294" t="n">
        <v>0</v>
      </c>
      <c r="M294" t="n">
        <v>0</v>
      </c>
      <c r="N294" t="n">
        <v>0</v>
      </c>
      <c r="O294" t="n">
        <v>0</v>
      </c>
      <c r="P294" t="n">
        <v>0</v>
      </c>
      <c r="Q294" t="n">
        <v>0</v>
      </c>
      <c r="R294" t="n">
        <v>0</v>
      </c>
      <c r="S294" t="n">
        <v>0</v>
      </c>
      <c r="T294" t="n">
        <v>0</v>
      </c>
      <c r="U294" s="2" t="inlineStr"/>
    </row>
    <row r="295" ht="15" customHeight="1">
      <c r="A295" t="inlineStr">
        <is>
          <t>A 24172-2025</t>
        </is>
      </c>
      <c r="B295" t="inlineStr">
        <is>
          <t>avverkningsanmälan</t>
        </is>
      </c>
      <c r="C295" t="inlineStr">
        <is>
          <t>Föryngringsavverkning</t>
        </is>
      </c>
      <c r="D295" s="1" t="n">
        <v>45796</v>
      </c>
      <c r="E295" s="1" t="n">
        <v>46223</v>
      </c>
      <c r="F295" t="inlineStr">
        <is>
          <t>SÖDERMANLANDS LÄN</t>
        </is>
      </c>
      <c r="G295" t="inlineStr">
        <is>
          <t>GNESTA</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S 879-2021</t>
        </is>
      </c>
      <c r="B296" t="inlineStr">
        <is>
          <t>samrådsanmälan</t>
        </is>
      </c>
      <c r="C296" t="inlineStr">
        <is>
          <t>Åtgärd i nyckelbiotop</t>
        </is>
      </c>
      <c r="D296" s="1" t="n">
        <v>44312</v>
      </c>
      <c r="E296" s="1" t="n">
        <v>46223</v>
      </c>
      <c r="F296" t="inlineStr">
        <is>
          <t>SÖDERMANLANDS LÄN</t>
        </is>
      </c>
      <c r="G296" t="inlineStr">
        <is>
          <t>GNESTA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S 1590-2022</t>
        </is>
      </c>
      <c r="B297" t="inlineStr">
        <is>
          <t>samrådsanmälan</t>
        </is>
      </c>
      <c r="C297" t="inlineStr">
        <is>
          <t>Annan skogsbruksåtgärd</t>
        </is>
      </c>
      <c r="D297" s="1" t="n">
        <v>44644</v>
      </c>
      <c r="E297" s="1" t="n">
        <v>46223</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S 6917-2021</t>
        </is>
      </c>
      <c r="B298" t="inlineStr">
        <is>
          <t>samrådsanmälan</t>
        </is>
      </c>
      <c r="C298" t="inlineStr">
        <is>
          <t>Annan skogsbruksåtgärd</t>
        </is>
      </c>
      <c r="D298" s="1" t="n">
        <v>44462</v>
      </c>
      <c r="E298" s="1" t="n">
        <v>46223</v>
      </c>
      <c r="F298" t="inlineStr">
        <is>
          <t>SÖDERMANLANDS LÄN</t>
        </is>
      </c>
      <c r="G298" t="inlineStr">
        <is>
          <t>GNESTA</t>
        </is>
      </c>
      <c r="I298" t="n">
        <v>1.4</v>
      </c>
      <c r="J298" t="n">
        <v>0</v>
      </c>
      <c r="K298" t="n">
        <v>0</v>
      </c>
      <c r="L298" t="n">
        <v>0</v>
      </c>
      <c r="M298" t="n">
        <v>0</v>
      </c>
      <c r="N298" t="n">
        <v>0</v>
      </c>
      <c r="O298" t="n">
        <v>0</v>
      </c>
      <c r="P298" t="n">
        <v>0</v>
      </c>
      <c r="Q298" t="n">
        <v>0</v>
      </c>
      <c r="R298" t="n">
        <v>0</v>
      </c>
      <c r="S298" t="n">
        <v>0</v>
      </c>
      <c r="T298" t="n">
        <v>0</v>
      </c>
      <c r="U298" s="2" t="inlineStr"/>
    </row>
    <row r="299">
      <c r="A299" t="inlineStr">
        <is>
          <t>S 3685-2024</t>
        </is>
      </c>
      <c r="B299" t="inlineStr">
        <is>
          <t>samrådsanmälan</t>
        </is>
      </c>
      <c r="C299" t="inlineStr">
        <is>
          <t>Annan skogsbruksåtgärd</t>
        </is>
      </c>
      <c r="D299" s="1" t="n">
        <v>45552</v>
      </c>
      <c r="E299" s="1" t="n">
        <v>46223</v>
      </c>
      <c r="F299" t="inlineStr">
        <is>
          <t>SÖDERMANLANDS LÄN</t>
        </is>
      </c>
      <c r="G299" t="inlineStr">
        <is>
          <t>GNESTA</t>
        </is>
      </c>
      <c r="I299" t="n">
        <v>0.6</v>
      </c>
      <c r="J299" t="n">
        <v>0</v>
      </c>
      <c r="K299" t="n">
        <v>0</v>
      </c>
      <c r="L299" t="n">
        <v>0</v>
      </c>
      <c r="M299" t="n">
        <v>0</v>
      </c>
      <c r="N299" t="n">
        <v>0</v>
      </c>
      <c r="O299" t="n">
        <v>0</v>
      </c>
      <c r="P299" t="n">
        <v>0</v>
      </c>
      <c r="Q299" t="n">
        <v>0</v>
      </c>
      <c r="R299" t="n">
        <v>0</v>
      </c>
      <c r="S299" t="n">
        <v>0</v>
      </c>
      <c r="T299" t="n">
        <v>0</v>
      </c>
      <c r="U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2026-07-20T01:46:57Z</dcterms:created>
  <dcterms:modified xmlns:dcterms="http://purl.org/dc/terms/" xmlns:xsi="http://www.w3.org/2001/XMLSchema-instance" xsi:type="dcterms:W3CDTF">2026-07-20T01:46:57Z</dcterms:modified>
</cp:coreProperties>
</file>