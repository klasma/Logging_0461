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26357-2025</t>
        </is>
      </c>
      <c r="B2" s="1" t="n">
        <v>45805</v>
      </c>
      <c r="C2" s="1" t="n">
        <v>45851</v>
      </c>
      <c r="D2" t="inlineStr">
        <is>
          <t>SÖDERMANLANDS LÄN</t>
        </is>
      </c>
      <c r="E2" t="inlineStr">
        <is>
          <t>GNESTA</t>
        </is>
      </c>
      <c r="G2" t="n">
        <v>57.5</v>
      </c>
      <c r="H2" t="n">
        <v>9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22</v>
      </c>
      <c r="R2" s="2" t="inlineStr">
        <is>
          <t>Entita
Granticka
Mindre hackspett
Rosenticka
Spillkråka
Tallticka
Ullticka
Vedtrappmossa
Björksplintborre
Brandticka
Bronshjon
Dropptaggsvamp
Grön sköldmossa
Grönpyrola
Jättesvampmal
Vedticka
Vågbandad barkbock
Kungsfågel
Fläcknycklar
Grönvit nattviol
Mattlummer
Revlummer</t>
        </is>
      </c>
      <c r="S2">
        <f>HYPERLINK("https://klasma.github.io/Logging_040461/artfynd/A 26357-2025 artfynd.xlsx", "A 26357-2025")</f>
        <v/>
      </c>
      <c r="T2">
        <f>HYPERLINK("https://klasma.github.io/Logging_040461/kartor/A 26357-2025 karta.png", "A 26357-2025")</f>
        <v/>
      </c>
      <c r="V2">
        <f>HYPERLINK("https://klasma.github.io/Logging_040461/klagomål/A 26357-2025 FSC-klagomål.docx", "A 26357-2025")</f>
        <v/>
      </c>
      <c r="W2">
        <f>HYPERLINK("https://klasma.github.io/Logging_040461/klagomålsmail/A 26357-2025 FSC-klagomål mail.docx", "A 26357-2025")</f>
        <v/>
      </c>
      <c r="X2">
        <f>HYPERLINK("https://klasma.github.io/Logging_040461/tillsyn/A 26357-2025 tillsynsbegäran.docx", "A 26357-2025")</f>
        <v/>
      </c>
      <c r="Y2">
        <f>HYPERLINK("https://klasma.github.io/Logging_040461/tillsynsmail/A 26357-2025 tillsynsbegäran mail.docx", "A 26357-2025")</f>
        <v/>
      </c>
      <c r="Z2">
        <f>HYPERLINK("https://klasma.github.io/Logging_040461/fåglar/A 26357-2025 prioriterade fågelarter.docx", "A 26357-2025")</f>
        <v/>
      </c>
    </row>
    <row r="3" ht="15" customHeight="1">
      <c r="A3" t="inlineStr">
        <is>
          <t>A 15285-2022</t>
        </is>
      </c>
      <c r="B3" s="1" t="n">
        <v>44659</v>
      </c>
      <c r="C3" s="1" t="n">
        <v>45851</v>
      </c>
      <c r="D3" t="inlineStr">
        <is>
          <t>SÖDERMANLANDS LÄN</t>
        </is>
      </c>
      <c r="E3" t="inlineStr">
        <is>
          <t>GNESTA</t>
        </is>
      </c>
      <c r="G3" t="n">
        <v>26</v>
      </c>
      <c r="H3" t="n">
        <v>1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3">
        <f>HYPERLINK("https://klasma.github.io/Logging_0461/artfynd/A 15285-2022 artfynd.xlsx", "A 15285-2022")</f>
        <v/>
      </c>
      <c r="T3">
        <f>HYPERLINK("https://klasma.github.io/Logging_0461/kartor/A 15285-2022 karta.png", "A 15285-2022")</f>
        <v/>
      </c>
      <c r="V3">
        <f>HYPERLINK("https://klasma.github.io/Logging_0461/klagomål/A 15285-2022 FSC-klagomål.docx", "A 15285-2022")</f>
        <v/>
      </c>
      <c r="W3">
        <f>HYPERLINK("https://klasma.github.io/Logging_0461/klagomålsmail/A 15285-2022 FSC-klagomål mail.docx", "A 15285-2022")</f>
        <v/>
      </c>
      <c r="X3">
        <f>HYPERLINK("https://klasma.github.io/Logging_0461/tillsyn/A 15285-2022 tillsynsbegäran.docx", "A 15285-2022")</f>
        <v/>
      </c>
      <c r="Y3">
        <f>HYPERLINK("https://klasma.github.io/Logging_0461/tillsynsmail/A 15285-2022 tillsynsbegäran mail.docx", "A 15285-2022")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45851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45851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45851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45851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45851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45851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45851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45851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45851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45851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45851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45851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45851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45851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45851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45851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45851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45851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45851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45851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45851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45851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45851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45851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45851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45851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45851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45851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45851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45851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45851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45851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45851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45851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45851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45851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45851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45851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45851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45851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45851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45851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45851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45851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45851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45851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45851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45851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45851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45851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45851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45851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45851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45851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45851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45851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45851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45851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45851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45851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45851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45851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45851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45851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45851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45851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45851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45851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45851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45851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45851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45851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45851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45851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45851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45851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45851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45851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45851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45851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45851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45851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45851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45851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45851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45851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45851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45851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45851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45851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45851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45851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45851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45851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45851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45851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45851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45851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45851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45851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45851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45851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45851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45851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45851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45851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45851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45851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45851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45851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45851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45851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45851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45851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45851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45851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45851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45851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45851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45851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45851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45851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45851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45851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45851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45851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45851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45851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45851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45851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45851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45851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45851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45851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45851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45851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45851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45851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45851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45851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45851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45851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45851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45851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45851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45851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45851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45851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45851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45851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45851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45851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45851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45851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45851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45851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45851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45851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45851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45851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45851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45851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45851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45851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45851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45851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45851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45851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45851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45851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45851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45851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45851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45851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45851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45851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45851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45851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45851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45851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45851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45851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45851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45851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45851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45851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45851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45851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45851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45851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45851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45851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45851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45851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45851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45851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45851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45851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45851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45851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45851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45851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45851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45851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45851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45851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45851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45851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45851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45851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45851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45851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45851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45851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45851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45851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45851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45851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45851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45851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45851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45851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45851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45851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45851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45851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45851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45851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45851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45851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45851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45851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45851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45851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45851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45851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45851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45851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45851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45851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45851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45851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45851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45851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45851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45851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45851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45851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45851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45851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45851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45851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45851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45851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45851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45851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45851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45851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45851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45851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45851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45851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45851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45851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45851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45851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45851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45851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45851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45851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45851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45851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45851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45851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45851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45851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45851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45851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45851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45851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45851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45851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45851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45851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45851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45851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45851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45851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45851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45851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45851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45851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45851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45851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45851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45851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45851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45851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45851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45851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45851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45851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45851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45851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45851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45851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45851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45851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45851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45851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45851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45851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45851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45851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45851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45851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45851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45851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45851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45851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45851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45851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45851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45851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45851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45851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45851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45851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45851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45851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45851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45851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45851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45851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45851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45851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45851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45851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45851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45851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45851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45851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45851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45851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45851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45851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45851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45851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45851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45851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45851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45851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45851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45851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45851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45851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45851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45851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45851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45851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45851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45851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45851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45851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45851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45851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45851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45851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45851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45851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45851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45851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45851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45851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45851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45851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45851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45851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45851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45851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45851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45851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45851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45851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45851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45851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45851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45851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45851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45851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45851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45851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45851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45851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45851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45851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45851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45851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45851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45851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45851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45851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45851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45851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45851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45851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45851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45851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45851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45851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45851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45851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45851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45851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45851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45851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45851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45851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45851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45851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45851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45851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45851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45851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45851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45851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45851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45851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45851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45851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45851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45851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45851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45851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45851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45851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45851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45851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45851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45851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45851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45851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45851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45851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45851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45851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45851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45851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45851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45851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45851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45851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45851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45851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45851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45851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45851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45851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45851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45851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45851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45851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45851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45851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45851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45851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45851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45851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45851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45851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45851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45851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45851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45851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45851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45851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45851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45851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45851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45851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45851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45851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45851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45851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45851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45851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45851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45851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45851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45851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45851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45851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45851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45851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45851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45851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45851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45851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45851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45851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45851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45851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45851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45851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45851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45851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45851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45851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45851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45851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45851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45851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45851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45851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45851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45851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45851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45851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45851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45851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45851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45851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45851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45851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45851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45851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45851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45851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45851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45851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45851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45851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45851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45851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45851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45851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45851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45851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45851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45851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45851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45851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45851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45851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45851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45851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45851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45851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45851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45851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45851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45851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45851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45851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45851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45851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45851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45851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45851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45851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45851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45851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45851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45851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45851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45851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45851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45851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45851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45851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45851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45851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45851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45851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45851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45851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45851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45851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45851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45851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45851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45851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45851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45851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45851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45851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45851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45851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45851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45851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45851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45851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45851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45851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45851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45851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45851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45851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45851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45851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45851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45851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45851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45851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45851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45851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45851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45851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45851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45851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45851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45851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45851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45851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45851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45851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45851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45851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45851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45851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45851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32060-2025</t>
        </is>
      </c>
      <c r="B625" s="1" t="n">
        <v>45835</v>
      </c>
      <c r="C625" s="1" t="n">
        <v>45851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33870-2025</t>
        </is>
      </c>
      <c r="B626" s="1" t="n">
        <v>45842</v>
      </c>
      <c r="C626" s="1" t="n">
        <v>45851</v>
      </c>
      <c r="D626" t="inlineStr">
        <is>
          <t>SÖDERMANLANDS LÄN</t>
        </is>
      </c>
      <c r="E626" t="inlineStr">
        <is>
          <t>GNESTA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2025-07-13T19:42:17Z</dcterms:created>
  <dcterms:modified xmlns:dcterms="http://purl.org/dc/terms/" xmlns:xsi="http://www.w3.org/2001/XMLSchema-instance" xsi:type="dcterms:W3CDTF">2025-07-13T19:42:17Z</dcterms:modified>
</cp:coreProperties>
</file>