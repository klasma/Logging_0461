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45294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45294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45294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45294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45294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45294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45294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45294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45294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45294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45294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45294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45294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36567-2018</t>
        </is>
      </c>
      <c r="B15" s="1" t="n">
        <v>43329</v>
      </c>
      <c r="C15" s="1" t="n">
        <v>45294</v>
      </c>
      <c r="D15" t="inlineStr">
        <is>
          <t>SÖDERMANLANDS LÄN</t>
        </is>
      </c>
      <c r="E15" t="inlineStr">
        <is>
          <t>GNESTA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HYPERLINK("https://klasma.github.io/Logging_0461/artfynd/A 36567-2018 artfynd.xlsx", "A 36567-2018")</f>
        <v/>
      </c>
      <c r="T15">
        <f>HYPERLINK("https://klasma.github.io/Logging_0461/kartor/A 36567-2018 karta.png", "A 36567-2018")</f>
        <v/>
      </c>
      <c r="V15">
        <f>HYPERLINK("https://klasma.github.io/Logging_0461/klagomål/A 36567-2018 FSC-klagomål.docx", "A 36567-2018")</f>
        <v/>
      </c>
      <c r="W15">
        <f>HYPERLINK("https://klasma.github.io/Logging_0461/klagomålsmail/A 36567-2018 FSC-klagomål mail.docx", "A 36567-2018")</f>
        <v/>
      </c>
      <c r="X15">
        <f>HYPERLINK("https://klasma.github.io/Logging_0461/tillsyn/A 36567-2018 tillsynsbegäran.docx", "A 36567-2018")</f>
        <v/>
      </c>
      <c r="Y15">
        <f>HYPERLINK("https://klasma.github.io/Logging_0461/tillsynsmail/A 36567-2018 tillsynsbegäran mail.docx", "A 36567-2018")</f>
        <v/>
      </c>
    </row>
    <row r="16" ht="15" customHeight="1">
      <c r="A16" t="inlineStr">
        <is>
          <t>A 45577-2019</t>
        </is>
      </c>
      <c r="B16" s="1" t="n">
        <v>43716</v>
      </c>
      <c r="C16" s="1" t="n">
        <v>45294</v>
      </c>
      <c r="D16" t="inlineStr">
        <is>
          <t>SÖDERMANLANDS LÄN</t>
        </is>
      </c>
      <c r="E16" t="inlineStr">
        <is>
          <t>GNESTA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Svedjenäva</t>
        </is>
      </c>
      <c r="S16">
        <f>HYPERLINK("https://klasma.github.io/Logging_0461/artfynd/A 45577-2019 artfynd.xlsx", "A 45577-2019")</f>
        <v/>
      </c>
      <c r="T16">
        <f>HYPERLINK("https://klasma.github.io/Logging_0461/kartor/A 45577-2019 karta.png", "A 45577-2019")</f>
        <v/>
      </c>
      <c r="V16">
        <f>HYPERLINK("https://klasma.github.io/Logging_0461/klagomål/A 45577-2019 FSC-klagomål.docx", "A 45577-2019")</f>
        <v/>
      </c>
      <c r="W16">
        <f>HYPERLINK("https://klasma.github.io/Logging_0461/klagomålsmail/A 45577-2019 FSC-klagomål mail.docx", "A 45577-2019")</f>
        <v/>
      </c>
      <c r="X16">
        <f>HYPERLINK("https://klasma.github.io/Logging_0461/tillsyn/A 45577-2019 tillsynsbegäran.docx", "A 45577-2019")</f>
        <v/>
      </c>
      <c r="Y16">
        <f>HYPERLINK("https://klasma.github.io/Logging_0461/tillsynsmail/A 45577-2019 tillsynsbegäran mail.docx", "A 45577-2019")</f>
        <v/>
      </c>
    </row>
    <row r="17" ht="15" customHeight="1">
      <c r="A17" t="inlineStr">
        <is>
          <t>A 51437-2019</t>
        </is>
      </c>
      <c r="B17" s="1" t="n">
        <v>43740</v>
      </c>
      <c r="C17" s="1" t="n">
        <v>45294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5.2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HYPERLINK("https://klasma.github.io/Logging_0461/artfynd/A 51437-2019 artfynd.xlsx", "A 51437-2019")</f>
        <v/>
      </c>
      <c r="T17">
        <f>HYPERLINK("https://klasma.github.io/Logging_0461/kartor/A 51437-2019 karta.png", "A 51437-2019")</f>
        <v/>
      </c>
      <c r="V17">
        <f>HYPERLINK("https://klasma.github.io/Logging_0461/klagomål/A 51437-2019 FSC-klagomål.docx", "A 51437-2019")</f>
        <v/>
      </c>
      <c r="W17">
        <f>HYPERLINK("https://klasma.github.io/Logging_0461/klagomålsmail/A 51437-2019 FSC-klagomål mail.docx", "A 51437-2019")</f>
        <v/>
      </c>
      <c r="X17">
        <f>HYPERLINK("https://klasma.github.io/Logging_0461/tillsyn/A 51437-2019 tillsynsbegäran.docx", "A 51437-2019")</f>
        <v/>
      </c>
      <c r="Y17">
        <f>HYPERLINK("https://klasma.github.io/Logging_0461/tillsynsmail/A 51437-2019 tillsynsbegäran mail.docx", "A 51437-2019")</f>
        <v/>
      </c>
    </row>
    <row r="18" ht="15" customHeight="1">
      <c r="A18" t="inlineStr">
        <is>
          <t>A 13747-2020</t>
        </is>
      </c>
      <c r="B18" s="1" t="n">
        <v>43896</v>
      </c>
      <c r="C18" s="1" t="n">
        <v>45294</v>
      </c>
      <c r="D18" t="inlineStr">
        <is>
          <t>SÖDERMANLANDS LÄN</t>
        </is>
      </c>
      <c r="E18" t="inlineStr">
        <is>
          <t>GNESTA</t>
        </is>
      </c>
      <c r="G18" t="n">
        <v>6.6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13747-2020 artfynd.xlsx", "A 13747-2020")</f>
        <v/>
      </c>
      <c r="T18">
        <f>HYPERLINK("https://klasma.github.io/Logging_0461/kartor/A 13747-2020 karta.png", "A 13747-2020")</f>
        <v/>
      </c>
      <c r="V18">
        <f>HYPERLINK("https://klasma.github.io/Logging_0461/klagomål/A 13747-2020 FSC-klagomål.docx", "A 13747-2020")</f>
        <v/>
      </c>
      <c r="W18">
        <f>HYPERLINK("https://klasma.github.io/Logging_0461/klagomålsmail/A 13747-2020 FSC-klagomål mail.docx", "A 13747-2020")</f>
        <v/>
      </c>
      <c r="X18">
        <f>HYPERLINK("https://klasma.github.io/Logging_0461/tillsyn/A 13747-2020 tillsynsbegäran.docx", "A 13747-2020")</f>
        <v/>
      </c>
      <c r="Y18">
        <f>HYPERLINK("https://klasma.github.io/Logging_0461/tillsynsmail/A 13747-2020 tillsynsbegäran mail.docx", "A 13747-2020")</f>
        <v/>
      </c>
    </row>
    <row r="19" ht="15" customHeight="1">
      <c r="A19" t="inlineStr">
        <is>
          <t>A 51080-2020</t>
        </is>
      </c>
      <c r="B19" s="1" t="n">
        <v>44112</v>
      </c>
      <c r="C19" s="1" t="n">
        <v>45294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HYPERLINK("https://klasma.github.io/Logging_0461/artfynd/A 51080-2020 artfynd.xlsx", "A 51080-2020")</f>
        <v/>
      </c>
      <c r="T19">
        <f>HYPERLINK("https://klasma.github.io/Logging_0461/kartor/A 51080-2020 karta.png", "A 51080-2020")</f>
        <v/>
      </c>
      <c r="V19">
        <f>HYPERLINK("https://klasma.github.io/Logging_0461/klagomål/A 51080-2020 FSC-klagomål.docx", "A 51080-2020")</f>
        <v/>
      </c>
      <c r="W19">
        <f>HYPERLINK("https://klasma.github.io/Logging_0461/klagomålsmail/A 51080-2020 FSC-klagomål mail.docx", "A 51080-2020")</f>
        <v/>
      </c>
      <c r="X19">
        <f>HYPERLINK("https://klasma.github.io/Logging_0461/tillsyn/A 51080-2020 tillsynsbegäran.docx", "A 51080-2020")</f>
        <v/>
      </c>
      <c r="Y19">
        <f>HYPERLINK("https://klasma.github.io/Logging_0461/tillsynsmail/A 51080-2020 tillsynsbegäran mail.docx", "A 51080-2020")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45294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</row>
    <row r="21" ht="15" customHeight="1">
      <c r="A21" t="inlineStr">
        <is>
          <t>A 11150-2021</t>
        </is>
      </c>
      <c r="B21" s="1" t="n">
        <v>44261</v>
      </c>
      <c r="C21" s="1" t="n">
        <v>45294</v>
      </c>
      <c r="D21" t="inlineStr">
        <is>
          <t>SÖDERMANLANDS LÄN</t>
        </is>
      </c>
      <c r="E21" t="inlineStr">
        <is>
          <t>GNESTA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HYPERLINK("https://klasma.github.io/Logging_0461/artfynd/A 11150-2021 artfynd.xlsx", "A 11150-2021")</f>
        <v/>
      </c>
      <c r="T21">
        <f>HYPERLINK("https://klasma.github.io/Logging_0461/kartor/A 11150-2021 karta.png", "A 11150-2021")</f>
        <v/>
      </c>
      <c r="V21">
        <f>HYPERLINK("https://klasma.github.io/Logging_0461/klagomål/A 11150-2021 FSC-klagomål.docx", "A 11150-2021")</f>
        <v/>
      </c>
      <c r="W21">
        <f>HYPERLINK("https://klasma.github.io/Logging_0461/klagomålsmail/A 11150-2021 FSC-klagomål mail.docx", "A 11150-2021")</f>
        <v/>
      </c>
      <c r="X21">
        <f>HYPERLINK("https://klasma.github.io/Logging_0461/tillsyn/A 11150-2021 tillsynsbegäran.docx", "A 11150-2021")</f>
        <v/>
      </c>
      <c r="Y21">
        <f>HYPERLINK("https://klasma.github.io/Logging_0461/tillsynsmail/A 11150-2021 tillsynsbegäran mail.docx", "A 11150-2021")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45294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2012-2022</t>
        </is>
      </c>
      <c r="B23" s="1" t="n">
        <v>44575</v>
      </c>
      <c r="C23" s="1" t="n">
        <v>45294</v>
      </c>
      <c r="D23" t="inlineStr">
        <is>
          <t>SÖDERMANLANDS LÄN</t>
        </is>
      </c>
      <c r="E23" t="inlineStr">
        <is>
          <t>GNESTA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HYPERLINK("https://klasma.github.io/Logging_0461/artfynd/A 2012-2022 artfynd.xlsx", "A 2012-2022")</f>
        <v/>
      </c>
      <c r="T23">
        <f>HYPERLINK("https://klasma.github.io/Logging_0461/kartor/A 2012-2022 karta.png", "A 2012-2022")</f>
        <v/>
      </c>
      <c r="V23">
        <f>HYPERLINK("https://klasma.github.io/Logging_0461/klagomål/A 2012-2022 FSC-klagomål.docx", "A 2012-2022")</f>
        <v/>
      </c>
      <c r="W23">
        <f>HYPERLINK("https://klasma.github.io/Logging_0461/klagomålsmail/A 2012-2022 FSC-klagomål mail.docx", "A 2012-2022")</f>
        <v/>
      </c>
      <c r="X23">
        <f>HYPERLINK("https://klasma.github.io/Logging_0461/tillsyn/A 2012-2022 tillsynsbegäran.docx", "A 2012-2022")</f>
        <v/>
      </c>
      <c r="Y23">
        <f>HYPERLINK("https://klasma.github.io/Logging_0461/tillsynsmail/A 2012-2022 tillsynsbegäran mail.docx", "A 2012-2022")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45294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33825-2022</t>
        </is>
      </c>
      <c r="B25" s="1" t="n">
        <v>44790</v>
      </c>
      <c r="C25" s="1" t="n">
        <v>45294</v>
      </c>
      <c r="D25" t="inlineStr">
        <is>
          <t>SÖDERMANLANDS LÄN</t>
        </is>
      </c>
      <c r="E25" t="inlineStr">
        <is>
          <t>GNESTA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HYPERLINK("https://klasma.github.io/Logging_0461/artfynd/A 33825-2022 artfynd.xlsx", "A 33825-2022")</f>
        <v/>
      </c>
      <c r="T25">
        <f>HYPERLINK("https://klasma.github.io/Logging_0461/kartor/A 33825-2022 karta.png", "A 33825-2022")</f>
        <v/>
      </c>
      <c r="V25">
        <f>HYPERLINK("https://klasma.github.io/Logging_0461/klagomål/A 33825-2022 FSC-klagomål.docx", "A 33825-2022")</f>
        <v/>
      </c>
      <c r="W25">
        <f>HYPERLINK("https://klasma.github.io/Logging_0461/klagomålsmail/A 33825-2022 FSC-klagomål mail.docx", "A 33825-2022")</f>
        <v/>
      </c>
      <c r="X25">
        <f>HYPERLINK("https://klasma.github.io/Logging_0461/tillsyn/A 33825-2022 tillsynsbegäran.docx", "A 33825-2022")</f>
        <v/>
      </c>
      <c r="Y25">
        <f>HYPERLINK("https://klasma.github.io/Logging_0461/tillsynsmail/A 33825-2022 tillsynsbegäran mail.docx", "A 33825-2022")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45294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44782-2022</t>
        </is>
      </c>
      <c r="B27" s="1" t="n">
        <v>44839</v>
      </c>
      <c r="C27" s="1" t="n">
        <v>45294</v>
      </c>
      <c r="D27" t="inlineStr">
        <is>
          <t>SÖDERMANLANDS LÄN</t>
        </is>
      </c>
      <c r="E27" t="inlineStr">
        <is>
          <t>GNESTA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Bredbrämad bastardsvärmare</t>
        </is>
      </c>
      <c r="S27">
        <f>HYPERLINK("https://klasma.github.io/Logging_0461/artfynd/A 44782-2022 artfynd.xlsx", "A 44782-2022")</f>
        <v/>
      </c>
      <c r="T27">
        <f>HYPERLINK("https://klasma.github.io/Logging_0461/kartor/A 44782-2022 karta.png", "A 44782-2022")</f>
        <v/>
      </c>
      <c r="V27">
        <f>HYPERLINK("https://klasma.github.io/Logging_0461/klagomål/A 44782-2022 FSC-klagomål.docx", "A 44782-2022")</f>
        <v/>
      </c>
      <c r="W27">
        <f>HYPERLINK("https://klasma.github.io/Logging_0461/klagomålsmail/A 44782-2022 FSC-klagomål mail.docx", "A 44782-2022")</f>
        <v/>
      </c>
      <c r="X27">
        <f>HYPERLINK("https://klasma.github.io/Logging_0461/tillsyn/A 44782-2022 tillsynsbegäran.docx", "A 44782-2022")</f>
        <v/>
      </c>
      <c r="Y27">
        <f>HYPERLINK("https://klasma.github.io/Logging_0461/tillsynsmail/A 44782-2022 tillsynsbegäran mail.docx", "A 44782-2022")</f>
        <v/>
      </c>
    </row>
    <row r="28" ht="15" customHeight="1">
      <c r="A28" t="inlineStr">
        <is>
          <t>A 45656-2022</t>
        </is>
      </c>
      <c r="B28" s="1" t="n">
        <v>44841</v>
      </c>
      <c r="C28" s="1" t="n">
        <v>45294</v>
      </c>
      <c r="D28" t="inlineStr">
        <is>
          <t>SÖDERMANLANDS LÄN</t>
        </is>
      </c>
      <c r="E28" t="inlineStr">
        <is>
          <t>GNESTA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HYPERLINK("https://klasma.github.io/Logging_0461/artfynd/A 45656-2022 artfynd.xlsx", "A 45656-2022")</f>
        <v/>
      </c>
      <c r="T28">
        <f>HYPERLINK("https://klasma.github.io/Logging_0461/kartor/A 45656-2022 karta.png", "A 45656-2022")</f>
        <v/>
      </c>
      <c r="V28">
        <f>HYPERLINK("https://klasma.github.io/Logging_0461/klagomål/A 45656-2022 FSC-klagomål.docx", "A 45656-2022")</f>
        <v/>
      </c>
      <c r="W28">
        <f>HYPERLINK("https://klasma.github.io/Logging_0461/klagomålsmail/A 45656-2022 FSC-klagomål mail.docx", "A 45656-2022")</f>
        <v/>
      </c>
      <c r="X28">
        <f>HYPERLINK("https://klasma.github.io/Logging_0461/tillsyn/A 45656-2022 tillsynsbegäran.docx", "A 45656-2022")</f>
        <v/>
      </c>
      <c r="Y28">
        <f>HYPERLINK("https://klasma.github.io/Logging_0461/tillsynsmail/A 45656-2022 tillsynsbegäran mail.docx", "A 45656-2022")</f>
        <v/>
      </c>
    </row>
    <row r="29" ht="15" customHeight="1">
      <c r="A29" t="inlineStr">
        <is>
          <t>A 49460-2022</t>
        </is>
      </c>
      <c r="B29" s="1" t="n">
        <v>44861</v>
      </c>
      <c r="C29" s="1" t="n">
        <v>45294</v>
      </c>
      <c r="D29" t="inlineStr">
        <is>
          <t>SÖDERMANLANDS LÄN</t>
        </is>
      </c>
      <c r="E29" t="inlineStr">
        <is>
          <t>GNESTA</t>
        </is>
      </c>
      <c r="G29" t="n">
        <v>8.5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HYPERLINK("https://klasma.github.io/Logging_0461/artfynd/A 49460-2022 artfynd.xlsx", "A 49460-2022")</f>
        <v/>
      </c>
      <c r="T29">
        <f>HYPERLINK("https://klasma.github.io/Logging_0461/kartor/A 49460-2022 karta.png", "A 49460-2022")</f>
        <v/>
      </c>
      <c r="V29">
        <f>HYPERLINK("https://klasma.github.io/Logging_0461/klagomål/A 49460-2022 FSC-klagomål.docx", "A 49460-2022")</f>
        <v/>
      </c>
      <c r="W29">
        <f>HYPERLINK("https://klasma.github.io/Logging_0461/klagomålsmail/A 49460-2022 FSC-klagomål mail.docx", "A 49460-2022")</f>
        <v/>
      </c>
      <c r="X29">
        <f>HYPERLINK("https://klasma.github.io/Logging_0461/tillsyn/A 49460-2022 tillsynsbegäran.docx", "A 49460-2022")</f>
        <v/>
      </c>
      <c r="Y29">
        <f>HYPERLINK("https://klasma.github.io/Logging_0461/tillsynsmail/A 49460-2022 tillsynsbegäran mail.docx", "A 49460-2022")</f>
        <v/>
      </c>
    </row>
    <row r="30" ht="15" customHeight="1">
      <c r="A30" t="inlineStr">
        <is>
          <t>A 49442-2022</t>
        </is>
      </c>
      <c r="B30" s="1" t="n">
        <v>44861</v>
      </c>
      <c r="C30" s="1" t="n">
        <v>45294</v>
      </c>
      <c r="D30" t="inlineStr">
        <is>
          <t>SÖDERMANLANDS LÄN</t>
        </is>
      </c>
      <c r="E30" t="inlineStr">
        <is>
          <t>GNESTA</t>
        </is>
      </c>
      <c r="G30" t="n">
        <v>3.6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Streckvaxskivling</t>
        </is>
      </c>
      <c r="S30">
        <f>HYPERLINK("https://klasma.github.io/Logging_0461/artfynd/A 49442-2022 artfynd.xlsx", "A 49442-2022")</f>
        <v/>
      </c>
      <c r="T30">
        <f>HYPERLINK("https://klasma.github.io/Logging_0461/kartor/A 49442-2022 karta.png", "A 49442-2022")</f>
        <v/>
      </c>
      <c r="V30">
        <f>HYPERLINK("https://klasma.github.io/Logging_0461/klagomål/A 49442-2022 FSC-klagomål.docx", "A 49442-2022")</f>
        <v/>
      </c>
      <c r="W30">
        <f>HYPERLINK("https://klasma.github.io/Logging_0461/klagomålsmail/A 49442-2022 FSC-klagomål mail.docx", "A 49442-2022")</f>
        <v/>
      </c>
      <c r="X30">
        <f>HYPERLINK("https://klasma.github.io/Logging_0461/tillsyn/A 49442-2022 tillsynsbegäran.docx", "A 49442-2022")</f>
        <v/>
      </c>
      <c r="Y30">
        <f>HYPERLINK("https://klasma.github.io/Logging_0461/tillsynsmail/A 49442-2022 tillsynsbegäran mail.docx", "A 49442-2022")</f>
        <v/>
      </c>
    </row>
    <row r="31" ht="15" customHeight="1">
      <c r="A31" t="inlineStr">
        <is>
          <t>A 56791-2022</t>
        </is>
      </c>
      <c r="B31" s="1" t="n">
        <v>44894</v>
      </c>
      <c r="C31" s="1" t="n">
        <v>45294</v>
      </c>
      <c r="D31" t="inlineStr">
        <is>
          <t>SÖDERMANLANDS LÄN</t>
        </is>
      </c>
      <c r="E31" t="inlineStr">
        <is>
          <t>GNESTA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HYPERLINK("https://klasma.github.io/Logging_0461/artfynd/A 56791-2022 artfynd.xlsx", "A 56791-2022")</f>
        <v/>
      </c>
      <c r="T31">
        <f>HYPERLINK("https://klasma.github.io/Logging_0461/kartor/A 56791-2022 karta.png", "A 56791-2022")</f>
        <v/>
      </c>
      <c r="V31">
        <f>HYPERLINK("https://klasma.github.io/Logging_0461/klagomål/A 56791-2022 FSC-klagomål.docx", "A 56791-2022")</f>
        <v/>
      </c>
      <c r="W31">
        <f>HYPERLINK("https://klasma.github.io/Logging_0461/klagomålsmail/A 56791-2022 FSC-klagomål mail.docx", "A 56791-2022")</f>
        <v/>
      </c>
      <c r="X31">
        <f>HYPERLINK("https://klasma.github.io/Logging_0461/tillsyn/A 56791-2022 tillsynsbegäran.docx", "A 56791-2022")</f>
        <v/>
      </c>
      <c r="Y31">
        <f>HYPERLINK("https://klasma.github.io/Logging_0461/tillsynsmail/A 56791-2022 tillsynsbegäran mail.docx", "A 56791-2022")</f>
        <v/>
      </c>
    </row>
    <row r="32" ht="15" customHeight="1">
      <c r="A32" t="inlineStr">
        <is>
          <t>A 61986-2022</t>
        </is>
      </c>
      <c r="B32" s="1" t="n">
        <v>44918</v>
      </c>
      <c r="C32" s="1" t="n">
        <v>45294</v>
      </c>
      <c r="D32" t="inlineStr">
        <is>
          <t>SÖDERMANLANDS LÄN</t>
        </is>
      </c>
      <c r="E32" t="inlineStr">
        <is>
          <t>GNESTA</t>
        </is>
      </c>
      <c r="F32" t="inlineStr">
        <is>
          <t>Kommuner</t>
        </is>
      </c>
      <c r="G32" t="n">
        <v>7.5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HYPERLINK("https://klasma.github.io/Logging_0461/artfynd/A 61986-2022 artfynd.xlsx", "A 61986-2022")</f>
        <v/>
      </c>
      <c r="T32">
        <f>HYPERLINK("https://klasma.github.io/Logging_0461/kartor/A 61986-2022 karta.png", "A 61986-2022")</f>
        <v/>
      </c>
      <c r="V32">
        <f>HYPERLINK("https://klasma.github.io/Logging_0461/klagomål/A 61986-2022 FSC-klagomål.docx", "A 61986-2022")</f>
        <v/>
      </c>
      <c r="W32">
        <f>HYPERLINK("https://klasma.github.io/Logging_0461/klagomålsmail/A 61986-2022 FSC-klagomål mail.docx", "A 61986-2022")</f>
        <v/>
      </c>
      <c r="X32">
        <f>HYPERLINK("https://klasma.github.io/Logging_0461/tillsyn/A 61986-2022 tillsynsbegäran.docx", "A 61986-2022")</f>
        <v/>
      </c>
      <c r="Y32">
        <f>HYPERLINK("https://klasma.github.io/Logging_0461/tillsynsmail/A 61986-2022 tillsynsbegäran mail.docx", "A 61986-2022")</f>
        <v/>
      </c>
    </row>
    <row r="33" ht="15" customHeight="1">
      <c r="A33" t="inlineStr">
        <is>
          <t>A 62007-2022</t>
        </is>
      </c>
      <c r="B33" s="1" t="n">
        <v>44918</v>
      </c>
      <c r="C33" s="1" t="n">
        <v>45294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HYPERLINK("https://klasma.github.io/Logging_0461/artfynd/A 62007-2022 artfynd.xlsx", "A 62007-2022")</f>
        <v/>
      </c>
      <c r="T33">
        <f>HYPERLINK("https://klasma.github.io/Logging_0461/kartor/A 62007-2022 karta.png", "A 62007-2022")</f>
        <v/>
      </c>
      <c r="V33">
        <f>HYPERLINK("https://klasma.github.io/Logging_0461/klagomål/A 62007-2022 FSC-klagomål.docx", "A 62007-2022")</f>
        <v/>
      </c>
      <c r="W33">
        <f>HYPERLINK("https://klasma.github.io/Logging_0461/klagomålsmail/A 62007-2022 FSC-klagomål mail.docx", "A 62007-2022")</f>
        <v/>
      </c>
      <c r="X33">
        <f>HYPERLINK("https://klasma.github.io/Logging_0461/tillsyn/A 62007-2022 tillsynsbegäran.docx", "A 62007-2022")</f>
        <v/>
      </c>
      <c r="Y33">
        <f>HYPERLINK("https://klasma.github.io/Logging_0461/tillsynsmail/A 62007-2022 tillsynsbegäran mail.docx", "A 62007-2022")</f>
        <v/>
      </c>
    </row>
    <row r="34" ht="15" customHeight="1">
      <c r="A34" t="inlineStr">
        <is>
          <t>A 6395-2023</t>
        </is>
      </c>
      <c r="B34" s="1" t="n">
        <v>44965</v>
      </c>
      <c r="C34" s="1" t="n">
        <v>45294</v>
      </c>
      <c r="D34" t="inlineStr">
        <is>
          <t>SÖDERMANLANDS LÄN</t>
        </is>
      </c>
      <c r="E34" t="inlineStr">
        <is>
          <t>GNESTA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HYPERLINK("https://klasma.github.io/Logging_0461/artfynd/A 6395-2023 artfynd.xlsx", "A 6395-2023")</f>
        <v/>
      </c>
      <c r="T34">
        <f>HYPERLINK("https://klasma.github.io/Logging_0461/kartor/A 6395-2023 karta.png", "A 6395-2023")</f>
        <v/>
      </c>
      <c r="V34">
        <f>HYPERLINK("https://klasma.github.io/Logging_0461/klagomål/A 6395-2023 FSC-klagomål.docx", "A 6395-2023")</f>
        <v/>
      </c>
      <c r="W34">
        <f>HYPERLINK("https://klasma.github.io/Logging_0461/klagomålsmail/A 6395-2023 FSC-klagomål mail.docx", "A 6395-2023")</f>
        <v/>
      </c>
      <c r="X34">
        <f>HYPERLINK("https://klasma.github.io/Logging_0461/tillsyn/A 6395-2023 tillsynsbegäran.docx", "A 6395-2023")</f>
        <v/>
      </c>
      <c r="Y34">
        <f>HYPERLINK("https://klasma.github.io/Logging_0461/tillsynsmail/A 6395-2023 tillsynsbegäran mail.docx", "A 6395-2023")</f>
        <v/>
      </c>
    </row>
    <row r="35" ht="15" customHeight="1">
      <c r="A35" t="inlineStr">
        <is>
          <t>A 7681-2023</t>
        </is>
      </c>
      <c r="B35" s="1" t="n">
        <v>44972</v>
      </c>
      <c r="C35" s="1" t="n">
        <v>45294</v>
      </c>
      <c r="D35" t="inlineStr">
        <is>
          <t>SÖDERMANLANDS LÄN</t>
        </is>
      </c>
      <c r="E35" t="inlineStr">
        <is>
          <t>GNESTA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7681-2023 artfynd.xlsx", "A 7681-2023")</f>
        <v/>
      </c>
      <c r="T35">
        <f>HYPERLINK("https://klasma.github.io/Logging_0461/kartor/A 7681-2023 karta.png", "A 7681-2023")</f>
        <v/>
      </c>
      <c r="V35">
        <f>HYPERLINK("https://klasma.github.io/Logging_0461/klagomål/A 7681-2023 FSC-klagomål.docx", "A 7681-2023")</f>
        <v/>
      </c>
      <c r="W35">
        <f>HYPERLINK("https://klasma.github.io/Logging_0461/klagomålsmail/A 7681-2023 FSC-klagomål mail.docx", "A 7681-2023")</f>
        <v/>
      </c>
      <c r="X35">
        <f>HYPERLINK("https://klasma.github.io/Logging_0461/tillsyn/A 7681-2023 tillsynsbegäran.docx", "A 7681-2023")</f>
        <v/>
      </c>
      <c r="Y35">
        <f>HYPERLINK("https://klasma.github.io/Logging_0461/tillsynsmail/A 7681-2023 tillsynsbegäran mail.docx", "A 7681-2023")</f>
        <v/>
      </c>
    </row>
    <row r="36" ht="15" customHeight="1">
      <c r="A36" t="inlineStr">
        <is>
          <t>A 7661-2023</t>
        </is>
      </c>
      <c r="B36" s="1" t="n">
        <v>44972</v>
      </c>
      <c r="C36" s="1" t="n">
        <v>45294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7661-2023 artfynd.xlsx", "A 7661-2023")</f>
        <v/>
      </c>
      <c r="T36">
        <f>HYPERLINK("https://klasma.github.io/Logging_0461/kartor/A 7661-2023 karta.png", "A 7661-2023")</f>
        <v/>
      </c>
      <c r="V36">
        <f>HYPERLINK("https://klasma.github.io/Logging_0461/klagomål/A 7661-2023 FSC-klagomål.docx", "A 7661-2023")</f>
        <v/>
      </c>
      <c r="W36">
        <f>HYPERLINK("https://klasma.github.io/Logging_0461/klagomålsmail/A 7661-2023 FSC-klagomål mail.docx", "A 7661-2023")</f>
        <v/>
      </c>
      <c r="X36">
        <f>HYPERLINK("https://klasma.github.io/Logging_0461/tillsyn/A 7661-2023 tillsynsbegäran.docx", "A 7661-2023")</f>
        <v/>
      </c>
      <c r="Y36">
        <f>HYPERLINK("https://klasma.github.io/Logging_0461/tillsynsmail/A 7661-2023 tillsynsbegäran mail.docx", "A 7661-2023")</f>
        <v/>
      </c>
    </row>
    <row r="37" ht="15" customHeight="1">
      <c r="A37" t="inlineStr">
        <is>
          <t>A 7741-2023</t>
        </is>
      </c>
      <c r="B37" s="1" t="n">
        <v>44973</v>
      </c>
      <c r="C37" s="1" t="n">
        <v>45294</v>
      </c>
      <c r="D37" t="inlineStr">
        <is>
          <t>SÖDERMANLANDS LÄN</t>
        </is>
      </c>
      <c r="E37" t="inlineStr">
        <is>
          <t>GNESTA</t>
        </is>
      </c>
      <c r="G37" t="n">
        <v>3.4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7741-2023 artfynd.xlsx", "A 7741-2023")</f>
        <v/>
      </c>
      <c r="T37">
        <f>HYPERLINK("https://klasma.github.io/Logging_0461/kartor/A 7741-2023 karta.png", "A 7741-2023")</f>
        <v/>
      </c>
      <c r="V37">
        <f>HYPERLINK("https://klasma.github.io/Logging_0461/klagomål/A 7741-2023 FSC-klagomål.docx", "A 7741-2023")</f>
        <v/>
      </c>
      <c r="W37">
        <f>HYPERLINK("https://klasma.github.io/Logging_0461/klagomålsmail/A 7741-2023 FSC-klagomål mail.docx", "A 7741-2023")</f>
        <v/>
      </c>
      <c r="X37">
        <f>HYPERLINK("https://klasma.github.io/Logging_0461/tillsyn/A 7741-2023 tillsynsbegäran.docx", "A 7741-2023")</f>
        <v/>
      </c>
      <c r="Y37">
        <f>HYPERLINK("https://klasma.github.io/Logging_0461/tillsynsmail/A 7741-2023 tillsynsbegäran mail.docx", "A 7741-2023")</f>
        <v/>
      </c>
    </row>
    <row r="38" ht="15" customHeight="1">
      <c r="A38" t="inlineStr">
        <is>
          <t>A 8019-2023</t>
        </is>
      </c>
      <c r="B38" s="1" t="n">
        <v>44973</v>
      </c>
      <c r="C38" s="1" t="n">
        <v>45294</v>
      </c>
      <c r="D38" t="inlineStr">
        <is>
          <t>SÖDERMANLANDS LÄN</t>
        </is>
      </c>
      <c r="E38" t="inlineStr">
        <is>
          <t>GNESTA</t>
        </is>
      </c>
      <c r="G38" t="n">
        <v>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Klasefibbla</t>
        </is>
      </c>
      <c r="S38">
        <f>HYPERLINK("https://klasma.github.io/Logging_0461/artfynd/A 8019-2023 artfynd.xlsx", "A 8019-2023")</f>
        <v/>
      </c>
      <c r="T38">
        <f>HYPERLINK("https://klasma.github.io/Logging_0461/kartor/A 8019-2023 karta.png", "A 8019-2023")</f>
        <v/>
      </c>
      <c r="V38">
        <f>HYPERLINK("https://klasma.github.io/Logging_0461/klagomål/A 8019-2023 FSC-klagomål.docx", "A 8019-2023")</f>
        <v/>
      </c>
      <c r="W38">
        <f>HYPERLINK("https://klasma.github.io/Logging_0461/klagomålsmail/A 8019-2023 FSC-klagomål mail.docx", "A 8019-2023")</f>
        <v/>
      </c>
      <c r="X38">
        <f>HYPERLINK("https://klasma.github.io/Logging_0461/tillsyn/A 8019-2023 tillsynsbegäran.docx", "A 8019-2023")</f>
        <v/>
      </c>
      <c r="Y38">
        <f>HYPERLINK("https://klasma.github.io/Logging_0461/tillsynsmail/A 8019-2023 tillsynsbegäran mail.docx", "A 8019-2023")</f>
        <v/>
      </c>
    </row>
    <row r="39" ht="15" customHeight="1">
      <c r="A39" t="inlineStr">
        <is>
          <t>A 9303-2023</t>
        </is>
      </c>
      <c r="B39" s="1" t="n">
        <v>44980</v>
      </c>
      <c r="C39" s="1" t="n">
        <v>45294</v>
      </c>
      <c r="D39" t="inlineStr">
        <is>
          <t>SÖDERMANLANDS LÄN</t>
        </is>
      </c>
      <c r="E39" t="inlineStr">
        <is>
          <t>GNESTA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Zontaggsvamp</t>
        </is>
      </c>
      <c r="S39">
        <f>HYPERLINK("https://klasma.github.io/Logging_0461/artfynd/A 9303-2023 artfynd.xlsx", "A 9303-2023")</f>
        <v/>
      </c>
      <c r="T39">
        <f>HYPERLINK("https://klasma.github.io/Logging_0461/kartor/A 9303-2023 karta.png", "A 9303-2023")</f>
        <v/>
      </c>
      <c r="V39">
        <f>HYPERLINK("https://klasma.github.io/Logging_0461/klagomål/A 9303-2023 FSC-klagomål.docx", "A 9303-2023")</f>
        <v/>
      </c>
      <c r="W39">
        <f>HYPERLINK("https://klasma.github.io/Logging_0461/klagomålsmail/A 9303-2023 FSC-klagomål mail.docx", "A 9303-2023")</f>
        <v/>
      </c>
      <c r="X39">
        <f>HYPERLINK("https://klasma.github.io/Logging_0461/tillsyn/A 9303-2023 tillsynsbegäran.docx", "A 9303-2023")</f>
        <v/>
      </c>
      <c r="Y39">
        <f>HYPERLINK("https://klasma.github.io/Logging_0461/tillsynsmail/A 9303-2023 tillsynsbegäran mail.docx", "A 9303-2023")</f>
        <v/>
      </c>
    </row>
    <row r="40" ht="15" customHeight="1">
      <c r="A40" t="inlineStr">
        <is>
          <t>A 12174-2023</t>
        </is>
      </c>
      <c r="B40" s="1" t="n">
        <v>44995</v>
      </c>
      <c r="C40" s="1" t="n">
        <v>45294</v>
      </c>
      <c r="D40" t="inlineStr">
        <is>
          <t>SÖDERMANLANDS LÄN</t>
        </is>
      </c>
      <c r="E40" t="inlineStr">
        <is>
          <t>GNESTA</t>
        </is>
      </c>
      <c r="G40" t="n">
        <v>11.2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Klasefibbla</t>
        </is>
      </c>
      <c r="S40">
        <f>HYPERLINK("https://klasma.github.io/Logging_0461/artfynd/A 12174-2023 artfynd.xlsx", "A 12174-2023")</f>
        <v/>
      </c>
      <c r="T40">
        <f>HYPERLINK("https://klasma.github.io/Logging_0461/kartor/A 12174-2023 karta.png", "A 12174-2023")</f>
        <v/>
      </c>
      <c r="V40">
        <f>HYPERLINK("https://klasma.github.io/Logging_0461/klagomål/A 12174-2023 FSC-klagomål.docx", "A 12174-2023")</f>
        <v/>
      </c>
      <c r="W40">
        <f>HYPERLINK("https://klasma.github.io/Logging_0461/klagomålsmail/A 12174-2023 FSC-klagomål mail.docx", "A 12174-2023")</f>
        <v/>
      </c>
      <c r="X40">
        <f>HYPERLINK("https://klasma.github.io/Logging_0461/tillsyn/A 12174-2023 tillsynsbegäran.docx", "A 12174-2023")</f>
        <v/>
      </c>
      <c r="Y40">
        <f>HYPERLINK("https://klasma.github.io/Logging_0461/tillsynsmail/A 12174-2023 tillsynsbegäran mail.docx", "A 12174-2023")</f>
        <v/>
      </c>
    </row>
    <row r="41" ht="15" customHeight="1">
      <c r="A41" t="inlineStr">
        <is>
          <t>A 33639-2023</t>
        </is>
      </c>
      <c r="B41" s="1" t="n">
        <v>45119</v>
      </c>
      <c r="C41" s="1" t="n">
        <v>45294</v>
      </c>
      <c r="D41" t="inlineStr">
        <is>
          <t>SÖDERMANLANDS LÄN</t>
        </is>
      </c>
      <c r="E41" t="inlineStr">
        <is>
          <t>GNESTA</t>
        </is>
      </c>
      <c r="G41" t="n">
        <v>6.1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Springkorn</t>
        </is>
      </c>
      <c r="S41">
        <f>HYPERLINK("https://klasma.github.io/Logging_0461/artfynd/A 33639-2023 artfynd.xlsx", "A 33639-2023")</f>
        <v/>
      </c>
      <c r="T41">
        <f>HYPERLINK("https://klasma.github.io/Logging_0461/kartor/A 33639-2023 karta.png", "A 33639-2023")</f>
        <v/>
      </c>
      <c r="V41">
        <f>HYPERLINK("https://klasma.github.io/Logging_0461/klagomål/A 33639-2023 FSC-klagomål.docx", "A 33639-2023")</f>
        <v/>
      </c>
      <c r="W41">
        <f>HYPERLINK("https://klasma.github.io/Logging_0461/klagomålsmail/A 33639-2023 FSC-klagomål mail.docx", "A 33639-2023")</f>
        <v/>
      </c>
      <c r="X41">
        <f>HYPERLINK("https://klasma.github.io/Logging_0461/tillsyn/A 33639-2023 tillsynsbegäran.docx", "A 33639-2023")</f>
        <v/>
      </c>
      <c r="Y41">
        <f>HYPERLINK("https://klasma.github.io/Logging_0461/tillsynsmail/A 33639-2023 tillsynsbegäran mail.docx", "A 33639-2023")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45294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42552-2023</t>
        </is>
      </c>
      <c r="B43" s="1" t="n">
        <v>45181</v>
      </c>
      <c r="C43" s="1" t="n">
        <v>45294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3.6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42552-2023 artfynd.xlsx", "A 42552-2023")</f>
        <v/>
      </c>
      <c r="T43">
        <f>HYPERLINK("https://klasma.github.io/Logging_0461/kartor/A 42552-2023 karta.png", "A 42552-2023")</f>
        <v/>
      </c>
      <c r="V43">
        <f>HYPERLINK("https://klasma.github.io/Logging_0461/klagomål/A 42552-2023 FSC-klagomål.docx", "A 42552-2023")</f>
        <v/>
      </c>
      <c r="W43">
        <f>HYPERLINK("https://klasma.github.io/Logging_0461/klagomålsmail/A 42552-2023 FSC-klagomål mail.docx", "A 42552-2023")</f>
        <v/>
      </c>
      <c r="X43">
        <f>HYPERLINK("https://klasma.github.io/Logging_0461/tillsyn/A 42552-2023 tillsynsbegäran.docx", "A 42552-2023")</f>
        <v/>
      </c>
      <c r="Y43">
        <f>HYPERLINK("https://klasma.github.io/Logging_0461/tillsynsmail/A 42552-2023 tillsynsbegäran mail.docx", "A 42552-2023")</f>
        <v/>
      </c>
    </row>
    <row r="44" ht="15" customHeight="1">
      <c r="A44" t="inlineStr">
        <is>
          <t>A 62737-2023</t>
        </is>
      </c>
      <c r="B44" s="1" t="n">
        <v>45271</v>
      </c>
      <c r="C44" s="1" t="n">
        <v>45294</v>
      </c>
      <c r="D44" t="inlineStr">
        <is>
          <t>SÖDERMANLANDS LÄN</t>
        </is>
      </c>
      <c r="E44" t="inlineStr">
        <is>
          <t>GNESTA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HYPERLINK("https://klasma.github.io/Logging_0461/artfynd/A 62737-2023 artfynd.xlsx", "A 62737-2023")</f>
        <v/>
      </c>
      <c r="T44">
        <f>HYPERLINK("https://klasma.github.io/Logging_0461/kartor/A 62737-2023 karta.png", "A 62737-2023")</f>
        <v/>
      </c>
      <c r="V44">
        <f>HYPERLINK("https://klasma.github.io/Logging_0461/klagomål/A 62737-2023 FSC-klagomål.docx", "A 62737-2023")</f>
        <v/>
      </c>
      <c r="W44">
        <f>HYPERLINK("https://klasma.github.io/Logging_0461/klagomålsmail/A 62737-2023 FSC-klagomål mail.docx", "A 62737-2023")</f>
        <v/>
      </c>
      <c r="X44">
        <f>HYPERLINK("https://klasma.github.io/Logging_0461/tillsyn/A 62737-2023 tillsynsbegäran.docx", "A 62737-2023")</f>
        <v/>
      </c>
      <c r="Y44">
        <f>HYPERLINK("https://klasma.github.io/Logging_0461/tillsynsmail/A 62737-2023 tillsynsbegäran mail.docx", "A 62737-2023")</f>
        <v/>
      </c>
    </row>
    <row r="45" ht="15" customHeight="1">
      <c r="A45" t="inlineStr">
        <is>
          <t>A 63736-2023</t>
        </is>
      </c>
      <c r="B45" s="1" t="n">
        <v>45277</v>
      </c>
      <c r="C45" s="1" t="n">
        <v>45294</v>
      </c>
      <c r="D45" t="inlineStr">
        <is>
          <t>SÖDERMANLANDS LÄN</t>
        </is>
      </c>
      <c r="E45" t="inlineStr">
        <is>
          <t>GNESTA</t>
        </is>
      </c>
      <c r="G45" t="n">
        <v>5.2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HYPERLINK("https://klasma.github.io/Logging_0461/artfynd/A 63736-2023 artfynd.xlsx", "A 63736-2023")</f>
        <v/>
      </c>
      <c r="T45">
        <f>HYPERLINK("https://klasma.github.io/Logging_0461/kartor/A 63736-2023 karta.png", "A 63736-2023")</f>
        <v/>
      </c>
      <c r="V45">
        <f>HYPERLINK("https://klasma.github.io/Logging_0461/klagomål/A 63736-2023 FSC-klagomål.docx", "A 63736-2023")</f>
        <v/>
      </c>
      <c r="W45">
        <f>HYPERLINK("https://klasma.github.io/Logging_0461/klagomålsmail/A 63736-2023 FSC-klagomål mail.docx", "A 63736-2023")</f>
        <v/>
      </c>
      <c r="X45">
        <f>HYPERLINK("https://klasma.github.io/Logging_0461/tillsyn/A 63736-2023 tillsynsbegäran.docx", "A 63736-2023")</f>
        <v/>
      </c>
      <c r="Y45">
        <f>HYPERLINK("https://klasma.github.io/Logging_0461/tillsynsmail/A 63736-2023 tillsynsbegäran mail.docx", "A 63736-2023")</f>
        <v/>
      </c>
    </row>
    <row r="46" ht="15" customHeight="1">
      <c r="A46" t="inlineStr">
        <is>
          <t>A 38068-2018</t>
        </is>
      </c>
      <c r="B46" s="1" t="n">
        <v>43336</v>
      </c>
      <c r="C46" s="1" t="n">
        <v>45294</v>
      </c>
      <c r="D46" t="inlineStr">
        <is>
          <t>SÖDERMANLANDS LÄN</t>
        </is>
      </c>
      <c r="E46" t="inlineStr">
        <is>
          <t>GNESTA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46046-2018</t>
        </is>
      </c>
      <c r="B47" s="1" t="n">
        <v>43365</v>
      </c>
      <c r="C47" s="1" t="n">
        <v>45294</v>
      </c>
      <c r="D47" t="inlineStr">
        <is>
          <t>SÖDERMANLANDS LÄN</t>
        </is>
      </c>
      <c r="E47" t="inlineStr">
        <is>
          <t>GNESTA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52082-2018</t>
        </is>
      </c>
      <c r="B48" s="1" t="n">
        <v>43385</v>
      </c>
      <c r="C48" s="1" t="n">
        <v>45294</v>
      </c>
      <c r="D48" t="inlineStr">
        <is>
          <t>SÖDERMANLANDS LÄN</t>
        </is>
      </c>
      <c r="E48" t="inlineStr">
        <is>
          <t>GNESTA</t>
        </is>
      </c>
      <c r="F48" t="inlineStr">
        <is>
          <t>Holmen skog AB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52098-2018</t>
        </is>
      </c>
      <c r="B49" s="1" t="n">
        <v>43385</v>
      </c>
      <c r="C49" s="1" t="n">
        <v>45294</v>
      </c>
      <c r="D49" t="inlineStr">
        <is>
          <t>SÖDERMANLANDS LÄN</t>
        </is>
      </c>
      <c r="E49" t="inlineStr">
        <is>
          <t>GNESTA</t>
        </is>
      </c>
      <c r="F49" t="inlineStr">
        <is>
          <t>Holmen skog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60402-2018</t>
        </is>
      </c>
      <c r="B50" s="1" t="n">
        <v>43405</v>
      </c>
      <c r="C50" s="1" t="n">
        <v>45294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60312-2018</t>
        </is>
      </c>
      <c r="B51" s="1" t="n">
        <v>43406</v>
      </c>
      <c r="C51" s="1" t="n">
        <v>45294</v>
      </c>
      <c r="D51" t="inlineStr">
        <is>
          <t>SÖDERMANLANDS LÄN</t>
        </is>
      </c>
      <c r="E51" t="inlineStr">
        <is>
          <t>GNESTA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67055-2018</t>
        </is>
      </c>
      <c r="B52" s="1" t="n">
        <v>43438</v>
      </c>
      <c r="C52" s="1" t="n">
        <v>45294</v>
      </c>
      <c r="D52" t="inlineStr">
        <is>
          <t>SÖDERMANLANDS LÄN</t>
        </is>
      </c>
      <c r="E52" t="inlineStr">
        <is>
          <t>GNESTA</t>
        </is>
      </c>
      <c r="F52" t="inlineStr">
        <is>
          <t>Övriga Aktiebolag</t>
        </is>
      </c>
      <c r="G52" t="n">
        <v>12.8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67075-2018</t>
        </is>
      </c>
      <c r="B53" s="1" t="n">
        <v>43438</v>
      </c>
      <c r="C53" s="1" t="n">
        <v>45294</v>
      </c>
      <c r="D53" t="inlineStr">
        <is>
          <t>SÖDERMANLANDS LÄN</t>
        </is>
      </c>
      <c r="E53" t="inlineStr">
        <is>
          <t>GNESTA</t>
        </is>
      </c>
      <c r="F53" t="inlineStr">
        <is>
          <t>Övriga Aktiebolag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979-2019</t>
        </is>
      </c>
      <c r="B54" s="1" t="n">
        <v>43472</v>
      </c>
      <c r="C54" s="1" t="n">
        <v>45294</v>
      </c>
      <c r="D54" t="inlineStr">
        <is>
          <t>SÖDERMANLANDS LÄN</t>
        </is>
      </c>
      <c r="E54" t="inlineStr">
        <is>
          <t>GNESTA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1090-2019</t>
        </is>
      </c>
      <c r="B55" s="1" t="n">
        <v>43472</v>
      </c>
      <c r="C55" s="1" t="n">
        <v>45294</v>
      </c>
      <c r="D55" t="inlineStr">
        <is>
          <t>SÖDERMANLANDS LÄN</t>
        </is>
      </c>
      <c r="E55" t="inlineStr">
        <is>
          <t>GNESTA</t>
        </is>
      </c>
      <c r="G55" t="n">
        <v>11.7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6165-2019</t>
        </is>
      </c>
      <c r="B56" s="1" t="n">
        <v>43486</v>
      </c>
      <c r="C56" s="1" t="n">
        <v>45294</v>
      </c>
      <c r="D56" t="inlineStr">
        <is>
          <t>SÖDERMANLANDS LÄN</t>
        </is>
      </c>
      <c r="E56" t="inlineStr">
        <is>
          <t>GNESTA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7620-2019</t>
        </is>
      </c>
      <c r="B57" s="1" t="n">
        <v>43493</v>
      </c>
      <c r="C57" s="1" t="n">
        <v>45294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11895-2019</t>
        </is>
      </c>
      <c r="B58" s="1" t="n">
        <v>43521</v>
      </c>
      <c r="C58" s="1" t="n">
        <v>45294</v>
      </c>
      <c r="D58" t="inlineStr">
        <is>
          <t>SÖDERMANLANDS LÄN</t>
        </is>
      </c>
      <c r="E58" t="inlineStr">
        <is>
          <t>GNESTA</t>
        </is>
      </c>
      <c r="F58" t="inlineStr">
        <is>
          <t>Holmen skog AB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14862-2019</t>
        </is>
      </c>
      <c r="B59" s="1" t="n">
        <v>43539</v>
      </c>
      <c r="C59" s="1" t="n">
        <v>45294</v>
      </c>
      <c r="D59" t="inlineStr">
        <is>
          <t>SÖDERMANLANDS LÄN</t>
        </is>
      </c>
      <c r="E59" t="inlineStr">
        <is>
          <t>GNESTA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14948-2019</t>
        </is>
      </c>
      <c r="B60" s="1" t="n">
        <v>43539</v>
      </c>
      <c r="C60" s="1" t="n">
        <v>45294</v>
      </c>
      <c r="D60" t="inlineStr">
        <is>
          <t>SÖDERMANLANDS LÄN</t>
        </is>
      </c>
      <c r="E60" t="inlineStr">
        <is>
          <t>GNESTA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15198-2019</t>
        </is>
      </c>
      <c r="B61" s="1" t="n">
        <v>43539</v>
      </c>
      <c r="C61" s="1" t="n">
        <v>45294</v>
      </c>
      <c r="D61" t="inlineStr">
        <is>
          <t>SÖDERMANLANDS LÄN</t>
        </is>
      </c>
      <c r="E61" t="inlineStr">
        <is>
          <t>GNESTA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15041-2019</t>
        </is>
      </c>
      <c r="B62" s="1" t="n">
        <v>43539</v>
      </c>
      <c r="C62" s="1" t="n">
        <v>45294</v>
      </c>
      <c r="D62" t="inlineStr">
        <is>
          <t>SÖDERMANLANDS LÄN</t>
        </is>
      </c>
      <c r="E62" t="inlineStr">
        <is>
          <t>GNESTA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14803-2019</t>
        </is>
      </c>
      <c r="B63" s="1" t="n">
        <v>43539</v>
      </c>
      <c r="C63" s="1" t="n">
        <v>45294</v>
      </c>
      <c r="D63" t="inlineStr">
        <is>
          <t>SÖDERMANLANDS LÄN</t>
        </is>
      </c>
      <c r="E63" t="inlineStr">
        <is>
          <t>GNESTA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18002-2019</t>
        </is>
      </c>
      <c r="B64" s="1" t="n">
        <v>43556</v>
      </c>
      <c r="C64" s="1" t="n">
        <v>45294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45294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45294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45294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45294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45294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45294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45294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45294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45294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45294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45294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45294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45294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45294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45294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45294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45294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45294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45294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45294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45294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45294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45294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45294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45294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45294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45294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45294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45294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45294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45294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45294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45294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45294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45294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45294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45294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45294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45294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45294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45294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45294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45294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45294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45294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45294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45294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45294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45294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45294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45294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45294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45294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45294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45294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45294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45294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45294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45294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45294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45294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45294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45294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45294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45294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45294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45294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45294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45294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45294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45294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45294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45294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45294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45294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45294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45294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45294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45294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45294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45294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45294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45294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45294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45294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45294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45294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45294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45294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45294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45294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45294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45294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45294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45294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45294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45294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45294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45294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45294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45294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45294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45294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45294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45294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45294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45294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45294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45294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45294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45294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45294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45294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45294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45294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45294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22712-2021</t>
        </is>
      </c>
      <c r="B181" s="1" t="n">
        <v>44327</v>
      </c>
      <c r="C181" s="1" t="n">
        <v>45294</v>
      </c>
      <c r="D181" t="inlineStr">
        <is>
          <t>SÖDERMANLANDS LÄN</t>
        </is>
      </c>
      <c r="E181" t="inlineStr">
        <is>
          <t>GNESTA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22906-2021</t>
        </is>
      </c>
      <c r="B182" s="1" t="n">
        <v>44328</v>
      </c>
      <c r="C182" s="1" t="n">
        <v>45294</v>
      </c>
      <c r="D182" t="inlineStr">
        <is>
          <t>SÖDERMANLANDS LÄN</t>
        </is>
      </c>
      <c r="E182" t="inlineStr">
        <is>
          <t>GNESTA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45294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45294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45294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45294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45294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45294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45294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45294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45294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45294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45294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45294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45294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45294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45294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45294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45294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45294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45294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45294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45294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45294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45294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45294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45294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45294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45294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45294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45294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45294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45294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45294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45294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45294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45294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45294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45294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45294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45294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45294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45294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45294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45294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45294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45294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45294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45294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45294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45294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45294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45294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45294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45294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45294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45294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45294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45294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45294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45294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45294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45294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45294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45294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45294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45294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45294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45294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45294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45294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45294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45294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45294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45294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45294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45294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45294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45294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45294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45294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45294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45294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45294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45294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45294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45294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45294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45294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45294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45294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45294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45294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45294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45294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45294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45294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45294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45294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45294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45294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45294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45294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45294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45294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45294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45294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45294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45294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45294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45294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45294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45294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45294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45294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45294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45294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45294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34029-2022</t>
        </is>
      </c>
      <c r="B299" s="1" t="n">
        <v>44791</v>
      </c>
      <c r="C299" s="1" t="n">
        <v>45294</v>
      </c>
      <c r="D299" t="inlineStr">
        <is>
          <t>SÖDERMANLANDS LÄN</t>
        </is>
      </c>
      <c r="E299" t="inlineStr">
        <is>
          <t>GNESTA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34696-2022</t>
        </is>
      </c>
      <c r="B300" s="1" t="n">
        <v>44795</v>
      </c>
      <c r="C300" s="1" t="n">
        <v>45294</v>
      </c>
      <c r="D300" t="inlineStr">
        <is>
          <t>SÖDERMANLANDS LÄN</t>
        </is>
      </c>
      <c r="E300" t="inlineStr">
        <is>
          <t>GNESTA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34765-2022</t>
        </is>
      </c>
      <c r="B301" s="1" t="n">
        <v>44795</v>
      </c>
      <c r="C301" s="1" t="n">
        <v>45294</v>
      </c>
      <c r="D301" t="inlineStr">
        <is>
          <t>SÖDERMANLANDS LÄN</t>
        </is>
      </c>
      <c r="E301" t="inlineStr">
        <is>
          <t>GNESTA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35173-2022</t>
        </is>
      </c>
      <c r="B302" s="1" t="n">
        <v>44797</v>
      </c>
      <c r="C302" s="1" t="n">
        <v>45294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36205-2022</t>
        </is>
      </c>
      <c r="B303" s="1" t="n">
        <v>44803</v>
      </c>
      <c r="C303" s="1" t="n">
        <v>45294</v>
      </c>
      <c r="D303" t="inlineStr">
        <is>
          <t>SÖDERMANLANDS LÄN</t>
        </is>
      </c>
      <c r="E303" t="inlineStr">
        <is>
          <t>GNESTA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36162-2022</t>
        </is>
      </c>
      <c r="B304" s="1" t="n">
        <v>44803</v>
      </c>
      <c r="C304" s="1" t="n">
        <v>45294</v>
      </c>
      <c r="D304" t="inlineStr">
        <is>
          <t>SÖDERMANLANDS LÄN</t>
        </is>
      </c>
      <c r="E304" t="inlineStr">
        <is>
          <t>GNESTA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40075-2022</t>
        </is>
      </c>
      <c r="B305" s="1" t="n">
        <v>44819</v>
      </c>
      <c r="C305" s="1" t="n">
        <v>45294</v>
      </c>
      <c r="D305" t="inlineStr">
        <is>
          <t>SÖDERMANLANDS LÄN</t>
        </is>
      </c>
      <c r="E305" t="inlineStr">
        <is>
          <t>GNESTA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40041-2022</t>
        </is>
      </c>
      <c r="B306" s="1" t="n">
        <v>44820</v>
      </c>
      <c r="C306" s="1" t="n">
        <v>45294</v>
      </c>
      <c r="D306" t="inlineStr">
        <is>
          <t>SÖDERMANLANDS LÄN</t>
        </is>
      </c>
      <c r="E306" t="inlineStr">
        <is>
          <t>GNESTA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42178-2022</t>
        </is>
      </c>
      <c r="B307" s="1" t="n">
        <v>44830</v>
      </c>
      <c r="C307" s="1" t="n">
        <v>45294</v>
      </c>
      <c r="D307" t="inlineStr">
        <is>
          <t>SÖDERMANLANDS LÄN</t>
        </is>
      </c>
      <c r="E307" t="inlineStr">
        <is>
          <t>GNESTA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42200-2022</t>
        </is>
      </c>
      <c r="B308" s="1" t="n">
        <v>44830</v>
      </c>
      <c r="C308" s="1" t="n">
        <v>45294</v>
      </c>
      <c r="D308" t="inlineStr">
        <is>
          <t>SÖDERMANLANDS LÄN</t>
        </is>
      </c>
      <c r="E308" t="inlineStr">
        <is>
          <t>GNESTA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42226-2022</t>
        </is>
      </c>
      <c r="B309" s="1" t="n">
        <v>44830</v>
      </c>
      <c r="C309" s="1" t="n">
        <v>45294</v>
      </c>
      <c r="D309" t="inlineStr">
        <is>
          <t>SÖDERMANLANDS LÄN</t>
        </is>
      </c>
      <c r="E309" t="inlineStr">
        <is>
          <t>GNESTA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42516-2022</t>
        </is>
      </c>
      <c r="B310" s="1" t="n">
        <v>44831</v>
      </c>
      <c r="C310" s="1" t="n">
        <v>45294</v>
      </c>
      <c r="D310" t="inlineStr">
        <is>
          <t>SÖDERMANLANDS LÄN</t>
        </is>
      </c>
      <c r="E310" t="inlineStr">
        <is>
          <t>GNESTA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42524-2022</t>
        </is>
      </c>
      <c r="B311" s="1" t="n">
        <v>44831</v>
      </c>
      <c r="C311" s="1" t="n">
        <v>45294</v>
      </c>
      <c r="D311" t="inlineStr">
        <is>
          <t>SÖDERMANLANDS LÄN</t>
        </is>
      </c>
      <c r="E311" t="inlineStr">
        <is>
          <t>GNESTA</t>
        </is>
      </c>
      <c r="G311" t="n">
        <v>14.8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42520-2022</t>
        </is>
      </c>
      <c r="B312" s="1" t="n">
        <v>44831</v>
      </c>
      <c r="C312" s="1" t="n">
        <v>45294</v>
      </c>
      <c r="D312" t="inlineStr">
        <is>
          <t>SÖDERMANLANDS LÄN</t>
        </is>
      </c>
      <c r="E312" t="inlineStr">
        <is>
          <t>GNESTA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43052-2022</t>
        </is>
      </c>
      <c r="B313" s="1" t="n">
        <v>44833</v>
      </c>
      <c r="C313" s="1" t="n">
        <v>45294</v>
      </c>
      <c r="D313" t="inlineStr">
        <is>
          <t>SÖDERMANLANDS LÄN</t>
        </is>
      </c>
      <c r="E313" t="inlineStr">
        <is>
          <t>GNESTA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43201-2022</t>
        </is>
      </c>
      <c r="B314" s="1" t="n">
        <v>44833</v>
      </c>
      <c r="C314" s="1" t="n">
        <v>45294</v>
      </c>
      <c r="D314" t="inlineStr">
        <is>
          <t>SÖDERMANLANDS LÄN</t>
        </is>
      </c>
      <c r="E314" t="inlineStr">
        <is>
          <t>GNESTA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43198-2022</t>
        </is>
      </c>
      <c r="B315" s="1" t="n">
        <v>44833</v>
      </c>
      <c r="C315" s="1" t="n">
        <v>45294</v>
      </c>
      <c r="D315" t="inlineStr">
        <is>
          <t>SÖDERMANLANDS LÄN</t>
        </is>
      </c>
      <c r="E315" t="inlineStr">
        <is>
          <t>GNESTA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43192-2022</t>
        </is>
      </c>
      <c r="B316" s="1" t="n">
        <v>44833</v>
      </c>
      <c r="C316" s="1" t="n">
        <v>45294</v>
      </c>
      <c r="D316" t="inlineStr">
        <is>
          <t>SÖDERMANLANDS LÄN</t>
        </is>
      </c>
      <c r="E316" t="inlineStr">
        <is>
          <t>GNESTA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44624-2022</t>
        </is>
      </c>
      <c r="B317" s="1" t="n">
        <v>44839</v>
      </c>
      <c r="C317" s="1" t="n">
        <v>45294</v>
      </c>
      <c r="D317" t="inlineStr">
        <is>
          <t>SÖDERMANLANDS LÄN</t>
        </is>
      </c>
      <c r="E317" t="inlineStr">
        <is>
          <t>GNESTA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44786-2022</t>
        </is>
      </c>
      <c r="B318" s="1" t="n">
        <v>44839</v>
      </c>
      <c r="C318" s="1" t="n">
        <v>45294</v>
      </c>
      <c r="D318" t="inlineStr">
        <is>
          <t>SÖDERMANLANDS LÄN</t>
        </is>
      </c>
      <c r="E318" t="inlineStr">
        <is>
          <t>GNESTA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44788-2022</t>
        </is>
      </c>
      <c r="B319" s="1" t="n">
        <v>44839</v>
      </c>
      <c r="C319" s="1" t="n">
        <v>45294</v>
      </c>
      <c r="D319" t="inlineStr">
        <is>
          <t>SÖDERMANLANDS LÄN</t>
        </is>
      </c>
      <c r="E319" t="inlineStr">
        <is>
          <t>GNESTA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45652-2022</t>
        </is>
      </c>
      <c r="B320" s="1" t="n">
        <v>44841</v>
      </c>
      <c r="C320" s="1" t="n">
        <v>45294</v>
      </c>
      <c r="D320" t="inlineStr">
        <is>
          <t>SÖDERMANLANDS LÄN</t>
        </is>
      </c>
      <c r="E320" t="inlineStr">
        <is>
          <t>GNESTA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45911-2022</t>
        </is>
      </c>
      <c r="B321" s="1" t="n">
        <v>44846</v>
      </c>
      <c r="C321" s="1" t="n">
        <v>45294</v>
      </c>
      <c r="D321" t="inlineStr">
        <is>
          <t>SÖDERMANLANDS LÄN</t>
        </is>
      </c>
      <c r="E321" t="inlineStr">
        <is>
          <t>GNESTA</t>
        </is>
      </c>
      <c r="F321" t="inlineStr">
        <is>
          <t>Allmännings- och besparingsskogar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47013-2022</t>
        </is>
      </c>
      <c r="B322" s="1" t="n">
        <v>44852</v>
      </c>
      <c r="C322" s="1" t="n">
        <v>45294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47971-2022</t>
        </is>
      </c>
      <c r="B323" s="1" t="n">
        <v>44853</v>
      </c>
      <c r="C323" s="1" t="n">
        <v>45294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47969-2022</t>
        </is>
      </c>
      <c r="B324" s="1" t="n">
        <v>44853</v>
      </c>
      <c r="C324" s="1" t="n">
        <v>45294</v>
      </c>
      <c r="D324" t="inlineStr">
        <is>
          <t>SÖDERMANLANDS LÄN</t>
        </is>
      </c>
      <c r="E324" t="inlineStr">
        <is>
          <t>GNESTA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49011-2022</t>
        </is>
      </c>
      <c r="B325" s="1" t="n">
        <v>44860</v>
      </c>
      <c r="C325" s="1" t="n">
        <v>45294</v>
      </c>
      <c r="D325" t="inlineStr">
        <is>
          <t>SÖDERMANLANDS LÄN</t>
        </is>
      </c>
      <c r="E325" t="inlineStr">
        <is>
          <t>GNESTA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49923-2022</t>
        </is>
      </c>
      <c r="B326" s="1" t="n">
        <v>44865</v>
      </c>
      <c r="C326" s="1" t="n">
        <v>45294</v>
      </c>
      <c r="D326" t="inlineStr">
        <is>
          <t>SÖDERMANLANDS LÄN</t>
        </is>
      </c>
      <c r="E326" t="inlineStr">
        <is>
          <t>GNESTA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51375-2022</t>
        </is>
      </c>
      <c r="B327" s="1" t="n">
        <v>44869</v>
      </c>
      <c r="C327" s="1" t="n">
        <v>45294</v>
      </c>
      <c r="D327" t="inlineStr">
        <is>
          <t>SÖDERMANLANDS LÄN</t>
        </is>
      </c>
      <c r="E327" t="inlineStr">
        <is>
          <t>GNESTA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52247-2022</t>
        </is>
      </c>
      <c r="B328" s="1" t="n">
        <v>44873</v>
      </c>
      <c r="C328" s="1" t="n">
        <v>45294</v>
      </c>
      <c r="D328" t="inlineStr">
        <is>
          <t>SÖDERMANLANDS LÄN</t>
        </is>
      </c>
      <c r="E328" t="inlineStr">
        <is>
          <t>GNESTA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56140-2022</t>
        </is>
      </c>
      <c r="B329" s="1" t="n">
        <v>44889</v>
      </c>
      <c r="C329" s="1" t="n">
        <v>45294</v>
      </c>
      <c r="D329" t="inlineStr">
        <is>
          <t>SÖDERMANLANDS LÄN</t>
        </is>
      </c>
      <c r="E329" t="inlineStr">
        <is>
          <t>GNESTA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56442-2022</t>
        </is>
      </c>
      <c r="B330" s="1" t="n">
        <v>44892</v>
      </c>
      <c r="C330" s="1" t="n">
        <v>45294</v>
      </c>
      <c r="D330" t="inlineStr">
        <is>
          <t>SÖDERMANLANDS LÄN</t>
        </is>
      </c>
      <c r="E330" t="inlineStr">
        <is>
          <t>GNESTA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56611-2022</t>
        </is>
      </c>
      <c r="B331" s="1" t="n">
        <v>44893</v>
      </c>
      <c r="C331" s="1" t="n">
        <v>45294</v>
      </c>
      <c r="D331" t="inlineStr">
        <is>
          <t>SÖDERMANLANDS LÄN</t>
        </is>
      </c>
      <c r="E331" t="inlineStr">
        <is>
          <t>GNESTA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58205-2022</t>
        </is>
      </c>
      <c r="B332" s="1" t="n">
        <v>44901</v>
      </c>
      <c r="C332" s="1" t="n">
        <v>45294</v>
      </c>
      <c r="D332" t="inlineStr">
        <is>
          <t>SÖDERMANLANDS LÄN</t>
        </is>
      </c>
      <c r="E332" t="inlineStr">
        <is>
          <t>GNESTA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58219-2022</t>
        </is>
      </c>
      <c r="B333" s="1" t="n">
        <v>44901</v>
      </c>
      <c r="C333" s="1" t="n">
        <v>45294</v>
      </c>
      <c r="D333" t="inlineStr">
        <is>
          <t>SÖDERMANLANDS LÄN</t>
        </is>
      </c>
      <c r="E333" t="inlineStr">
        <is>
          <t>GNESTA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58428-2022</t>
        </is>
      </c>
      <c r="B334" s="1" t="n">
        <v>44901</v>
      </c>
      <c r="C334" s="1" t="n">
        <v>45294</v>
      </c>
      <c r="D334" t="inlineStr">
        <is>
          <t>SÖDERMANLANDS LÄN</t>
        </is>
      </c>
      <c r="E334" t="inlineStr">
        <is>
          <t>GNESTA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58451-2022</t>
        </is>
      </c>
      <c r="B335" s="1" t="n">
        <v>44901</v>
      </c>
      <c r="C335" s="1" t="n">
        <v>45294</v>
      </c>
      <c r="D335" t="inlineStr">
        <is>
          <t>SÖDERMANLANDS LÄN</t>
        </is>
      </c>
      <c r="E335" t="inlineStr">
        <is>
          <t>GNESTA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58457-2022</t>
        </is>
      </c>
      <c r="B336" s="1" t="n">
        <v>44902</v>
      </c>
      <c r="C336" s="1" t="n">
        <v>45294</v>
      </c>
      <c r="D336" t="inlineStr">
        <is>
          <t>SÖDERMANLANDS LÄN</t>
        </is>
      </c>
      <c r="E336" t="inlineStr">
        <is>
          <t>GNESTA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59477-2022</t>
        </is>
      </c>
      <c r="B337" s="1" t="n">
        <v>44907</v>
      </c>
      <c r="C337" s="1" t="n">
        <v>45294</v>
      </c>
      <c r="D337" t="inlineStr">
        <is>
          <t>SÖDERMANLANDS LÄN</t>
        </is>
      </c>
      <c r="E337" t="inlineStr">
        <is>
          <t>GNESTA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59471-2022</t>
        </is>
      </c>
      <c r="B338" s="1" t="n">
        <v>44907</v>
      </c>
      <c r="C338" s="1" t="n">
        <v>45294</v>
      </c>
      <c r="D338" t="inlineStr">
        <is>
          <t>SÖDERMANLANDS LÄN</t>
        </is>
      </c>
      <c r="E338" t="inlineStr">
        <is>
          <t>GNESTA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60124-2022</t>
        </is>
      </c>
      <c r="B339" s="1" t="n">
        <v>44909</v>
      </c>
      <c r="C339" s="1" t="n">
        <v>45294</v>
      </c>
      <c r="D339" t="inlineStr">
        <is>
          <t>SÖDERMANLANDS LÄN</t>
        </is>
      </c>
      <c r="E339" t="inlineStr">
        <is>
          <t>GNESTA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61179-2022</t>
        </is>
      </c>
      <c r="B340" s="1" t="n">
        <v>44915</v>
      </c>
      <c r="C340" s="1" t="n">
        <v>45294</v>
      </c>
      <c r="D340" t="inlineStr">
        <is>
          <t>SÖDERMANLANDS LÄN</t>
        </is>
      </c>
      <c r="E340" t="inlineStr">
        <is>
          <t>GNESTA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61896-2022</t>
        </is>
      </c>
      <c r="B341" s="1" t="n">
        <v>44917</v>
      </c>
      <c r="C341" s="1" t="n">
        <v>45294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62020-2022</t>
        </is>
      </c>
      <c r="B342" s="1" t="n">
        <v>44918</v>
      </c>
      <c r="C342" s="1" t="n">
        <v>45294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62016-2022</t>
        </is>
      </c>
      <c r="B343" s="1" t="n">
        <v>44918</v>
      </c>
      <c r="C343" s="1" t="n">
        <v>45294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62018-2022</t>
        </is>
      </c>
      <c r="B344" s="1" t="n">
        <v>44918</v>
      </c>
      <c r="C344" s="1" t="n">
        <v>45294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62022-2022</t>
        </is>
      </c>
      <c r="B345" s="1" t="n">
        <v>44918</v>
      </c>
      <c r="C345" s="1" t="n">
        <v>45294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62216-2022</t>
        </is>
      </c>
      <c r="B346" s="1" t="n">
        <v>44922</v>
      </c>
      <c r="C346" s="1" t="n">
        <v>45294</v>
      </c>
      <c r="D346" t="inlineStr">
        <is>
          <t>SÖDERMANLANDS LÄN</t>
        </is>
      </c>
      <c r="E346" t="inlineStr">
        <is>
          <t>GNESTA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62247-2022</t>
        </is>
      </c>
      <c r="B347" s="1" t="n">
        <v>44922</v>
      </c>
      <c r="C347" s="1" t="n">
        <v>45294</v>
      </c>
      <c r="D347" t="inlineStr">
        <is>
          <t>SÖDERMANLANDS LÄN</t>
        </is>
      </c>
      <c r="E347" t="inlineStr">
        <is>
          <t>GNESTA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62244-2022</t>
        </is>
      </c>
      <c r="B348" s="1" t="n">
        <v>44922</v>
      </c>
      <c r="C348" s="1" t="n">
        <v>45294</v>
      </c>
      <c r="D348" t="inlineStr">
        <is>
          <t>SÖDERMANLANDS LÄN</t>
        </is>
      </c>
      <c r="E348" t="inlineStr">
        <is>
          <t>GNESTA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62252-2022</t>
        </is>
      </c>
      <c r="B349" s="1" t="n">
        <v>44922</v>
      </c>
      <c r="C349" s="1" t="n">
        <v>45294</v>
      </c>
      <c r="D349" t="inlineStr">
        <is>
          <t>SÖDERMANLANDS LÄN</t>
        </is>
      </c>
      <c r="E349" t="inlineStr">
        <is>
          <t>GNESTA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5-2023</t>
        </is>
      </c>
      <c r="B350" s="1" t="n">
        <v>44927</v>
      </c>
      <c r="C350" s="1" t="n">
        <v>45294</v>
      </c>
      <c r="D350" t="inlineStr">
        <is>
          <t>SÖDERMANLANDS LÄN</t>
        </is>
      </c>
      <c r="E350" t="inlineStr">
        <is>
          <t>GNESTA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1378-2023</t>
        </is>
      </c>
      <c r="B351" s="1" t="n">
        <v>44930</v>
      </c>
      <c r="C351" s="1" t="n">
        <v>45294</v>
      </c>
      <c r="D351" t="inlineStr">
        <is>
          <t>SÖDERMANLANDS LÄN</t>
        </is>
      </c>
      <c r="E351" t="inlineStr">
        <is>
          <t>GNESTA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2920-2023</t>
        </is>
      </c>
      <c r="B352" s="1" t="n">
        <v>44945</v>
      </c>
      <c r="C352" s="1" t="n">
        <v>45294</v>
      </c>
      <c r="D352" t="inlineStr">
        <is>
          <t>SÖDERMANLANDS LÄN</t>
        </is>
      </c>
      <c r="E352" t="inlineStr">
        <is>
          <t>GNESTA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3002-2023</t>
        </is>
      </c>
      <c r="B353" s="1" t="n">
        <v>44945</v>
      </c>
      <c r="C353" s="1" t="n">
        <v>45294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3003-2023</t>
        </is>
      </c>
      <c r="B354" s="1" t="n">
        <v>44945</v>
      </c>
      <c r="C354" s="1" t="n">
        <v>45294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3004-2023</t>
        </is>
      </c>
      <c r="B355" s="1" t="n">
        <v>44945</v>
      </c>
      <c r="C355" s="1" t="n">
        <v>45294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3227-2023</t>
        </is>
      </c>
      <c r="B356" s="1" t="n">
        <v>44946</v>
      </c>
      <c r="C356" s="1" t="n">
        <v>45294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3847-2023</t>
        </is>
      </c>
      <c r="B357" s="1" t="n">
        <v>44951</v>
      </c>
      <c r="C357" s="1" t="n">
        <v>45294</v>
      </c>
      <c r="D357" t="inlineStr">
        <is>
          <t>SÖDERMANLANDS LÄN</t>
        </is>
      </c>
      <c r="E357" t="inlineStr">
        <is>
          <t>GNESTA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4509-2023</t>
        </is>
      </c>
      <c r="B358" s="1" t="n">
        <v>44956</v>
      </c>
      <c r="C358" s="1" t="n">
        <v>45294</v>
      </c>
      <c r="D358" t="inlineStr">
        <is>
          <t>SÖDERMANLANDS LÄN</t>
        </is>
      </c>
      <c r="E358" t="inlineStr">
        <is>
          <t>GNESTA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5822-2023</t>
        </is>
      </c>
      <c r="B359" s="1" t="n">
        <v>44958</v>
      </c>
      <c r="C359" s="1" t="n">
        <v>45294</v>
      </c>
      <c r="D359" t="inlineStr">
        <is>
          <t>SÖDERMANLANDS LÄN</t>
        </is>
      </c>
      <c r="E359" t="inlineStr">
        <is>
          <t>GNESTA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5911-2023</t>
        </is>
      </c>
      <c r="B360" s="1" t="n">
        <v>44963</v>
      </c>
      <c r="C360" s="1" t="n">
        <v>45294</v>
      </c>
      <c r="D360" t="inlineStr">
        <is>
          <t>SÖDERMANLANDS LÄN</t>
        </is>
      </c>
      <c r="E360" t="inlineStr">
        <is>
          <t>GNESTA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5928-2023</t>
        </is>
      </c>
      <c r="B361" s="1" t="n">
        <v>44963</v>
      </c>
      <c r="C361" s="1" t="n">
        <v>45294</v>
      </c>
      <c r="D361" t="inlineStr">
        <is>
          <t>SÖDERMANLANDS LÄN</t>
        </is>
      </c>
      <c r="E361" t="inlineStr">
        <is>
          <t>GNESTA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6216-2023</t>
        </is>
      </c>
      <c r="B362" s="1" t="n">
        <v>44964</v>
      </c>
      <c r="C362" s="1" t="n">
        <v>45294</v>
      </c>
      <c r="D362" t="inlineStr">
        <is>
          <t>SÖDERMANLANDS LÄN</t>
        </is>
      </c>
      <c r="E362" t="inlineStr">
        <is>
          <t>GNESTA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6394-2023</t>
        </is>
      </c>
      <c r="B363" s="1" t="n">
        <v>44965</v>
      </c>
      <c r="C363" s="1" t="n">
        <v>45294</v>
      </c>
      <c r="D363" t="inlineStr">
        <is>
          <t>SÖDERMANLANDS LÄN</t>
        </is>
      </c>
      <c r="E363" t="inlineStr">
        <is>
          <t>GNESTA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7214-2023</t>
        </is>
      </c>
      <c r="B364" s="1" t="n">
        <v>44970</v>
      </c>
      <c r="C364" s="1" t="n">
        <v>45294</v>
      </c>
      <c r="D364" t="inlineStr">
        <is>
          <t>SÖDERMANLANDS LÄN</t>
        </is>
      </c>
      <c r="E364" t="inlineStr">
        <is>
          <t>GNESTA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7292-2023</t>
        </is>
      </c>
      <c r="B365" s="1" t="n">
        <v>44970</v>
      </c>
      <c r="C365" s="1" t="n">
        <v>45294</v>
      </c>
      <c r="D365" t="inlineStr">
        <is>
          <t>SÖDERMANLANDS LÄN</t>
        </is>
      </c>
      <c r="E365" t="inlineStr">
        <is>
          <t>GNESTA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7644-2023</t>
        </is>
      </c>
      <c r="B366" s="1" t="n">
        <v>44972</v>
      </c>
      <c r="C366" s="1" t="n">
        <v>45294</v>
      </c>
      <c r="D366" t="inlineStr">
        <is>
          <t>SÖDERMANLANDS LÄN</t>
        </is>
      </c>
      <c r="E366" t="inlineStr">
        <is>
          <t>GNESTA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7657-2023</t>
        </is>
      </c>
      <c r="B367" s="1" t="n">
        <v>44972</v>
      </c>
      <c r="C367" s="1" t="n">
        <v>45294</v>
      </c>
      <c r="D367" t="inlineStr">
        <is>
          <t>SÖDERMANLANDS LÄN</t>
        </is>
      </c>
      <c r="E367" t="inlineStr">
        <is>
          <t>GNESTA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7669-2023</t>
        </is>
      </c>
      <c r="B368" s="1" t="n">
        <v>44972</v>
      </c>
      <c r="C368" s="1" t="n">
        <v>45294</v>
      </c>
      <c r="D368" t="inlineStr">
        <is>
          <t>SÖDERMANLANDS LÄN</t>
        </is>
      </c>
      <c r="E368" t="inlineStr">
        <is>
          <t>GNESTA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7653-2023</t>
        </is>
      </c>
      <c r="B369" s="1" t="n">
        <v>44972</v>
      </c>
      <c r="C369" s="1" t="n">
        <v>45294</v>
      </c>
      <c r="D369" t="inlineStr">
        <is>
          <t>SÖDERMANLANDS LÄN</t>
        </is>
      </c>
      <c r="E369" t="inlineStr">
        <is>
          <t>GNESTA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7667-2023</t>
        </is>
      </c>
      <c r="B370" s="1" t="n">
        <v>44972</v>
      </c>
      <c r="C370" s="1" t="n">
        <v>45294</v>
      </c>
      <c r="D370" t="inlineStr">
        <is>
          <t>SÖDERMANLANDS LÄN</t>
        </is>
      </c>
      <c r="E370" t="inlineStr">
        <is>
          <t>GNESTA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7735-2023</t>
        </is>
      </c>
      <c r="B371" s="1" t="n">
        <v>44973</v>
      </c>
      <c r="C371" s="1" t="n">
        <v>45294</v>
      </c>
      <c r="D371" t="inlineStr">
        <is>
          <t>SÖDERMANLANDS LÄN</t>
        </is>
      </c>
      <c r="E371" t="inlineStr">
        <is>
          <t>GNESTA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7777-2023</t>
        </is>
      </c>
      <c r="B372" s="1" t="n">
        <v>44973</v>
      </c>
      <c r="C372" s="1" t="n">
        <v>45294</v>
      </c>
      <c r="D372" t="inlineStr">
        <is>
          <t>SÖDERMANLANDS LÄN</t>
        </is>
      </c>
      <c r="E372" t="inlineStr">
        <is>
          <t>GNESTA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7794-2023</t>
        </is>
      </c>
      <c r="B373" s="1" t="n">
        <v>44973</v>
      </c>
      <c r="C373" s="1" t="n">
        <v>45294</v>
      </c>
      <c r="D373" t="inlineStr">
        <is>
          <t>SÖDERMANLANDS LÄN</t>
        </is>
      </c>
      <c r="E373" t="inlineStr">
        <is>
          <t>GNESTA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7803-2023</t>
        </is>
      </c>
      <c r="B374" s="1" t="n">
        <v>44973</v>
      </c>
      <c r="C374" s="1" t="n">
        <v>45294</v>
      </c>
      <c r="D374" t="inlineStr">
        <is>
          <t>SÖDERMANLANDS LÄN</t>
        </is>
      </c>
      <c r="E374" t="inlineStr">
        <is>
          <t>GNESTA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8013-2023</t>
        </is>
      </c>
      <c r="B375" s="1" t="n">
        <v>44973</v>
      </c>
      <c r="C375" s="1" t="n">
        <v>45294</v>
      </c>
      <c r="D375" t="inlineStr">
        <is>
          <t>SÖDERMANLANDS LÄN</t>
        </is>
      </c>
      <c r="E375" t="inlineStr">
        <is>
          <t>GNESTA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8018-2023</t>
        </is>
      </c>
      <c r="B376" s="1" t="n">
        <v>44973</v>
      </c>
      <c r="C376" s="1" t="n">
        <v>45294</v>
      </c>
      <c r="D376" t="inlineStr">
        <is>
          <t>SÖDERMANLANDS LÄN</t>
        </is>
      </c>
      <c r="E376" t="inlineStr">
        <is>
          <t>GNESTA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9164-2023</t>
        </is>
      </c>
      <c r="B377" s="1" t="n">
        <v>44980</v>
      </c>
      <c r="C377" s="1" t="n">
        <v>45294</v>
      </c>
      <c r="D377" t="inlineStr">
        <is>
          <t>SÖDERMANLANDS LÄN</t>
        </is>
      </c>
      <c r="E377" t="inlineStr">
        <is>
          <t>GNESTA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9325-2023</t>
        </is>
      </c>
      <c r="B378" s="1" t="n">
        <v>44980</v>
      </c>
      <c r="C378" s="1" t="n">
        <v>45294</v>
      </c>
      <c r="D378" t="inlineStr">
        <is>
          <t>SÖDERMANLANDS LÄN</t>
        </is>
      </c>
      <c r="E378" t="inlineStr">
        <is>
          <t>GNESTA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9178-2023</t>
        </is>
      </c>
      <c r="B379" s="1" t="n">
        <v>44980</v>
      </c>
      <c r="C379" s="1" t="n">
        <v>45294</v>
      </c>
      <c r="D379" t="inlineStr">
        <is>
          <t>SÖDERMANLANDS LÄN</t>
        </is>
      </c>
      <c r="E379" t="inlineStr">
        <is>
          <t>GNESTA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11726-2023</t>
        </is>
      </c>
      <c r="B380" s="1" t="n">
        <v>44994</v>
      </c>
      <c r="C380" s="1" t="n">
        <v>45294</v>
      </c>
      <c r="D380" t="inlineStr">
        <is>
          <t>SÖDERMANLANDS LÄN</t>
        </is>
      </c>
      <c r="E380" t="inlineStr">
        <is>
          <t>GNESTA</t>
        </is>
      </c>
      <c r="G380" t="n">
        <v>13.4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11746-2023</t>
        </is>
      </c>
      <c r="B381" s="1" t="n">
        <v>44994</v>
      </c>
      <c r="C381" s="1" t="n">
        <v>45294</v>
      </c>
      <c r="D381" t="inlineStr">
        <is>
          <t>SÖDERMANLANDS LÄN</t>
        </is>
      </c>
      <c r="E381" t="inlineStr">
        <is>
          <t>GNESTA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12219-2023</t>
        </is>
      </c>
      <c r="B382" s="1" t="n">
        <v>44998</v>
      </c>
      <c r="C382" s="1" t="n">
        <v>45294</v>
      </c>
      <c r="D382" t="inlineStr">
        <is>
          <t>SÖDERMANLANDS LÄN</t>
        </is>
      </c>
      <c r="E382" t="inlineStr">
        <is>
          <t>GNESTA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12624-2023</t>
        </is>
      </c>
      <c r="B383" s="1" t="n">
        <v>45000</v>
      </c>
      <c r="C383" s="1" t="n">
        <v>45294</v>
      </c>
      <c r="D383" t="inlineStr">
        <is>
          <t>SÖDERMANLANDS LÄN</t>
        </is>
      </c>
      <c r="E383" t="inlineStr">
        <is>
          <t>GNESTA</t>
        </is>
      </c>
      <c r="F383" t="inlineStr">
        <is>
          <t>Allmännings- och besparingsskogar</t>
        </is>
      </c>
      <c r="G383" t="n">
        <v>19.1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13046-2023</t>
        </is>
      </c>
      <c r="B384" s="1" t="n">
        <v>45002</v>
      </c>
      <c r="C384" s="1" t="n">
        <v>45294</v>
      </c>
      <c r="D384" t="inlineStr">
        <is>
          <t>SÖDERMANLANDS LÄN</t>
        </is>
      </c>
      <c r="E384" t="inlineStr">
        <is>
          <t>GNESTA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13351-2023</t>
        </is>
      </c>
      <c r="B385" s="1" t="n">
        <v>45005</v>
      </c>
      <c r="C385" s="1" t="n">
        <v>45294</v>
      </c>
      <c r="D385" t="inlineStr">
        <is>
          <t>SÖDERMANLANDS LÄN</t>
        </is>
      </c>
      <c r="E385" t="inlineStr">
        <is>
          <t>GNESTA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13346-2023</t>
        </is>
      </c>
      <c r="B386" s="1" t="n">
        <v>45005</v>
      </c>
      <c r="C386" s="1" t="n">
        <v>45294</v>
      </c>
      <c r="D386" t="inlineStr">
        <is>
          <t>SÖDERMANLANDS LÄN</t>
        </is>
      </c>
      <c r="E386" t="inlineStr">
        <is>
          <t>GNESTA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14055-2023</t>
        </is>
      </c>
      <c r="B387" s="1" t="n">
        <v>45008</v>
      </c>
      <c r="C387" s="1" t="n">
        <v>45294</v>
      </c>
      <c r="D387" t="inlineStr">
        <is>
          <t>SÖDERMANLANDS LÄN</t>
        </is>
      </c>
      <c r="E387" t="inlineStr">
        <is>
          <t>GNESTA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15205-2023</t>
        </is>
      </c>
      <c r="B388" s="1" t="n">
        <v>45018</v>
      </c>
      <c r="C388" s="1" t="n">
        <v>45294</v>
      </c>
      <c r="D388" t="inlineStr">
        <is>
          <t>SÖDERMANLANDS LÄN</t>
        </is>
      </c>
      <c r="E388" t="inlineStr">
        <is>
          <t>GNESTA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17155-2023</t>
        </is>
      </c>
      <c r="B389" s="1" t="n">
        <v>45034</v>
      </c>
      <c r="C389" s="1" t="n">
        <v>45294</v>
      </c>
      <c r="D389" t="inlineStr">
        <is>
          <t>SÖDERMANLANDS LÄN</t>
        </is>
      </c>
      <c r="E389" t="inlineStr">
        <is>
          <t>GNESTA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17185-2023</t>
        </is>
      </c>
      <c r="B390" s="1" t="n">
        <v>45034</v>
      </c>
      <c r="C390" s="1" t="n">
        <v>45294</v>
      </c>
      <c r="D390" t="inlineStr">
        <is>
          <t>SÖDERMANLANDS LÄN</t>
        </is>
      </c>
      <c r="E390" t="inlineStr">
        <is>
          <t>GNESTA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17653-2023</t>
        </is>
      </c>
      <c r="B391" s="1" t="n">
        <v>45036</v>
      </c>
      <c r="C391" s="1" t="n">
        <v>45294</v>
      </c>
      <c r="D391" t="inlineStr">
        <is>
          <t>SÖDERMANLANDS LÄN</t>
        </is>
      </c>
      <c r="E391" t="inlineStr">
        <is>
          <t>GNESTA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45294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45294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45294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45294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45294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45294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45294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45294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45294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45294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45294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45294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45294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45294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45294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45294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45294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45294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45294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45294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45294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45294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45294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45294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45294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45294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45294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45294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45294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45294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45294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45294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45294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45294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45294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45294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45294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45294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45294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45294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45294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45294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45294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45294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45294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45294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45294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45294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45294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45294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45294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45294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45294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45294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45294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45294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45294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45294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45294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45294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45294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45294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45294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45294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45294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45294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45294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45294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45294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45294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45294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45294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45294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45294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45294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45294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45294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45294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45294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45294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45294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45294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61446-2023</t>
        </is>
      </c>
      <c r="B474" s="1" t="n">
        <v>45264</v>
      </c>
      <c r="C474" s="1" t="n">
        <v>45294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61459-2023</t>
        </is>
      </c>
      <c r="B475" s="1" t="n">
        <v>45264</v>
      </c>
      <c r="C475" s="1" t="n">
        <v>45294</v>
      </c>
      <c r="D475" t="inlineStr">
        <is>
          <t>SÖDERMANLANDS LÄN</t>
        </is>
      </c>
      <c r="E475" t="inlineStr">
        <is>
          <t>GNESTA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45294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45294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45294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62427-2023</t>
        </is>
      </c>
      <c r="B479" s="1" t="n">
        <v>45268</v>
      </c>
      <c r="C479" s="1" t="n">
        <v>45294</v>
      </c>
      <c r="D479" t="inlineStr">
        <is>
          <t>SÖDERMANLANDS LÄN</t>
        </is>
      </c>
      <c r="E479" t="inlineStr">
        <is>
          <t>GNESTA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62428-2023</t>
        </is>
      </c>
      <c r="B480" s="1" t="n">
        <v>45268</v>
      </c>
      <c r="C480" s="1" t="n">
        <v>45294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62653-2023</t>
        </is>
      </c>
      <c r="B481" s="1" t="n">
        <v>45271</v>
      </c>
      <c r="C481" s="1" t="n">
        <v>45294</v>
      </c>
      <c r="D481" t="inlineStr">
        <is>
          <t>SÖDERMANLANDS LÄN</t>
        </is>
      </c>
      <c r="E481" t="inlineStr">
        <is>
          <t>GNESTA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62640-2023</t>
        </is>
      </c>
      <c r="B482" s="1" t="n">
        <v>45271</v>
      </c>
      <c r="C482" s="1" t="n">
        <v>45294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62690-2023</t>
        </is>
      </c>
      <c r="B483" s="1" t="n">
        <v>45271</v>
      </c>
      <c r="C483" s="1" t="n">
        <v>45294</v>
      </c>
      <c r="D483" t="inlineStr">
        <is>
          <t>SÖDERMANLANDS LÄN</t>
        </is>
      </c>
      <c r="E483" t="inlineStr">
        <is>
          <t>GNESTA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62707-2023</t>
        </is>
      </c>
      <c r="B484" s="1" t="n">
        <v>45271</v>
      </c>
      <c r="C484" s="1" t="n">
        <v>45294</v>
      </c>
      <c r="D484" t="inlineStr">
        <is>
          <t>SÖDERMANLANDS LÄN</t>
        </is>
      </c>
      <c r="E484" t="inlineStr">
        <is>
          <t>GNESTA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45294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45294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45294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45294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45294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45294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45294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45294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45294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64324-2023</t>
        </is>
      </c>
      <c r="B494" s="1" t="n">
        <v>45280</v>
      </c>
      <c r="C494" s="1" t="n">
        <v>45294</v>
      </c>
      <c r="D494" t="inlineStr">
        <is>
          <t>SÖDERMANLANDS LÄN</t>
        </is>
      </c>
      <c r="E494" t="inlineStr">
        <is>
          <t>GNESTA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65000-2023</t>
        </is>
      </c>
      <c r="B495" s="1" t="n">
        <v>45286</v>
      </c>
      <c r="C495" s="1" t="n">
        <v>45294</v>
      </c>
      <c r="D495" t="inlineStr">
        <is>
          <t>SÖDERMANLANDS LÄN</t>
        </is>
      </c>
      <c r="E495" t="inlineStr">
        <is>
          <t>GNESTA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65001-2023</t>
        </is>
      </c>
      <c r="B496" s="1" t="n">
        <v>45286</v>
      </c>
      <c r="C496" s="1" t="n">
        <v>45294</v>
      </c>
      <c r="D496" t="inlineStr">
        <is>
          <t>SÖDERMANLANDS LÄN</t>
        </is>
      </c>
      <c r="E496" t="inlineStr">
        <is>
          <t>GNESTA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65082-2023</t>
        </is>
      </c>
      <c r="B497" s="1" t="n">
        <v>45288</v>
      </c>
      <c r="C497" s="1" t="n">
        <v>45294</v>
      </c>
      <c r="D497" t="inlineStr">
        <is>
          <t>SÖDERMANLANDS LÄN</t>
        </is>
      </c>
      <c r="E497" t="inlineStr">
        <is>
          <t>GNESTA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2024-01-03T10:00:44Z</dcterms:created>
  <dcterms:modified xmlns:dcterms="http://purl.org/dc/terms/" xmlns:xsi="http://www.w3.org/2001/XMLSchema-instance" xsi:type="dcterms:W3CDTF">2024-01-03T10:00:44Z</dcterms:modified>
</cp:coreProperties>
</file>