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45737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45737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45737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45737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45737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45737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45737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45737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45737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45737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45737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45737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45737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45737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29986-2024</t>
        </is>
      </c>
      <c r="B16" s="1" t="n">
        <v>45488</v>
      </c>
      <c r="C16" s="1" t="n">
        <v>45737</v>
      </c>
      <c r="D16" t="inlineStr">
        <is>
          <t>SÖDERMANLANDS LÄN</t>
        </is>
      </c>
      <c r="E16" t="inlineStr">
        <is>
          <t>GNESTA</t>
        </is>
      </c>
      <c r="G16" t="n">
        <v>4.3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Tallticka
Grovticka</t>
        </is>
      </c>
      <c r="S16">
        <f>HYPERLINK("https://klasma.github.io/Logging_0461/artfynd/A 29986-2024 artfynd.xlsx", "A 29986-2024")</f>
        <v/>
      </c>
      <c r="T16">
        <f>HYPERLINK("https://klasma.github.io/Logging_0461/kartor/A 29986-2024 karta.png", "A 29986-2024")</f>
        <v/>
      </c>
      <c r="U16">
        <f>HYPERLINK("https://klasma.github.io/Logging_0461/knärot/A 29986-2024 karta knärot.png", "A 29986-2024")</f>
        <v/>
      </c>
      <c r="V16">
        <f>HYPERLINK("https://klasma.github.io/Logging_0461/klagomål/A 29986-2024 FSC-klagomål.docx", "A 29986-2024")</f>
        <v/>
      </c>
      <c r="W16">
        <f>HYPERLINK("https://klasma.github.io/Logging_0461/klagomålsmail/A 29986-2024 FSC-klagomål mail.docx", "A 29986-2024")</f>
        <v/>
      </c>
      <c r="X16">
        <f>HYPERLINK("https://klasma.github.io/Logging_0461/tillsyn/A 29986-2024 tillsynsbegäran.docx", "A 29986-2024")</f>
        <v/>
      </c>
      <c r="Y16">
        <f>HYPERLINK("https://klasma.github.io/Logging_0461/tillsynsmail/A 29986-2024 tillsynsbegäran mail.docx", "A 29986-2024")</f>
        <v/>
      </c>
      <c r="Z16">
        <f>HYPERLINK("https://klasma.github.io/Logging_0461/fåglar/A 29986-2024 prioriterade fågelarter.docx", "A 29986-2024")</f>
        <v/>
      </c>
    </row>
    <row r="17" ht="15" customHeight="1">
      <c r="A17" t="inlineStr">
        <is>
          <t>A 35740-2024</t>
        </is>
      </c>
      <c r="B17" s="1" t="n">
        <v>45532</v>
      </c>
      <c r="C17" s="1" t="n">
        <v>45737</v>
      </c>
      <c r="D17" t="inlineStr">
        <is>
          <t>SÖDERMANLANDS LÄN</t>
        </is>
      </c>
      <c r="E17" t="inlineStr">
        <is>
          <t>GNESTA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Kandelabersvamp
Fällmossa
Kruskantarell
Blåsippa</t>
        </is>
      </c>
      <c r="S17">
        <f>HYPERLINK("https://klasma.github.io/Logging_0461/artfynd/A 35740-2024 artfynd.xlsx", "A 35740-2024")</f>
        <v/>
      </c>
      <c r="T17">
        <f>HYPERLINK("https://klasma.github.io/Logging_0461/kartor/A 35740-2024 karta.png", "A 35740-2024")</f>
        <v/>
      </c>
      <c r="V17">
        <f>HYPERLINK("https://klasma.github.io/Logging_0461/klagomål/A 35740-2024 FSC-klagomål.docx", "A 35740-2024")</f>
        <v/>
      </c>
      <c r="W17">
        <f>HYPERLINK("https://klasma.github.io/Logging_0461/klagomålsmail/A 35740-2024 FSC-klagomål mail.docx", "A 35740-2024")</f>
        <v/>
      </c>
      <c r="X17">
        <f>HYPERLINK("https://klasma.github.io/Logging_0461/tillsyn/A 35740-2024 tillsynsbegäran.docx", "A 35740-2024")</f>
        <v/>
      </c>
      <c r="Y17">
        <f>HYPERLINK("https://klasma.github.io/Logging_0461/tillsynsmail/A 35740-2024 tillsynsbegäran mail.docx", "A 35740-2024")</f>
        <v/>
      </c>
    </row>
    <row r="18" ht="15" customHeight="1">
      <c r="A18" t="inlineStr">
        <is>
          <t>A 43282-2024</t>
        </is>
      </c>
      <c r="B18" s="1" t="n">
        <v>45568</v>
      </c>
      <c r="C18" s="1" t="n">
        <v>45737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11.4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Svart taggsvamp
Svartvit taggsvamp
Dropptaggsvamp</t>
        </is>
      </c>
      <c r="S18">
        <f>HYPERLINK("https://klasma.github.io/Logging_0461/artfynd/A 43282-2024 artfynd.xlsx", "A 43282-2024")</f>
        <v/>
      </c>
      <c r="T18">
        <f>HYPERLINK("https://klasma.github.io/Logging_0461/kartor/A 43282-2024 karta.png", "A 43282-2024")</f>
        <v/>
      </c>
      <c r="V18">
        <f>HYPERLINK("https://klasma.github.io/Logging_0461/klagomål/A 43282-2024 FSC-klagomål.docx", "A 43282-2024")</f>
        <v/>
      </c>
      <c r="W18">
        <f>HYPERLINK("https://klasma.github.io/Logging_0461/klagomålsmail/A 43282-2024 FSC-klagomål mail.docx", "A 43282-2024")</f>
        <v/>
      </c>
      <c r="X18">
        <f>HYPERLINK("https://klasma.github.io/Logging_0461/tillsyn/A 43282-2024 tillsynsbegäran.docx", "A 43282-2024")</f>
        <v/>
      </c>
      <c r="Y18">
        <f>HYPERLINK("https://klasma.github.io/Logging_0461/tillsynsmail/A 43282-2024 tillsynsbegäran mail.docx", "A 43282-2024")</f>
        <v/>
      </c>
    </row>
    <row r="19" ht="15" customHeight="1">
      <c r="A19" t="inlineStr">
        <is>
          <t>A 20402-2020</t>
        </is>
      </c>
      <c r="B19" s="1" t="n">
        <v>43945</v>
      </c>
      <c r="C19" s="1" t="n">
        <v>45737</v>
      </c>
      <c r="D19" t="inlineStr">
        <is>
          <t>SÖDERMANLANDS LÄN</t>
        </is>
      </c>
      <c r="E19" t="inlineStr">
        <is>
          <t>GNESTA</t>
        </is>
      </c>
      <c r="G19" t="n">
        <v>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Strutbräken
Sårläka</t>
        </is>
      </c>
      <c r="S19">
        <f>HYPERLINK("https://klasma.github.io/Logging_0461/artfynd/A 20402-2020 artfynd.xlsx", "A 20402-2020")</f>
        <v/>
      </c>
      <c r="T19">
        <f>HYPERLINK("https://klasma.github.io/Logging_0461/kartor/A 20402-2020 karta.png", "A 20402-2020")</f>
        <v/>
      </c>
      <c r="V19">
        <f>HYPERLINK("https://klasma.github.io/Logging_0461/klagomål/A 20402-2020 FSC-klagomål.docx", "A 20402-2020")</f>
        <v/>
      </c>
      <c r="W19">
        <f>HYPERLINK("https://klasma.github.io/Logging_0461/klagomålsmail/A 20402-2020 FSC-klagomål mail.docx", "A 20402-2020")</f>
        <v/>
      </c>
      <c r="X19">
        <f>HYPERLINK("https://klasma.github.io/Logging_0461/tillsyn/A 20402-2020 tillsynsbegäran.docx", "A 20402-2020")</f>
        <v/>
      </c>
      <c r="Y19">
        <f>HYPERLINK("https://klasma.github.io/Logging_0461/tillsynsmail/A 20402-2020 tillsynsbegäran mail.docx", "A 20402-2020")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45737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Hornuggla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45737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45737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45737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45737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45737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45737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45737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45737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45737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45737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45737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45737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45737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45737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45737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45737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45737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45737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45737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45737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45737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45737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45737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45737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45737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45737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45737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45737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45737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45737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45737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45737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45737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45737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45737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45737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45737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45737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45737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45737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45737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45737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45737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45737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45737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45737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45737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45737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45737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45737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45737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45737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45737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45737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45737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45737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45737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45737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45737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45737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45737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45737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45737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45737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45737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45737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45737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45737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45737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45737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45737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45737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45737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45737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45737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45737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45737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45737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45737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45737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45737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45737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45737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45737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45737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45737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45737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45737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45737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45737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45737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45737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45737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45737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45737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45737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45737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45737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45737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45737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45737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45737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45737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45737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45737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45737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45737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45737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45737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45737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45737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45737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45737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45737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45737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45737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45737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45737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45737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45737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45737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45737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45737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45737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45737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45737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45737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45737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45737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45737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45737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45737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45737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45737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45737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45737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45737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45737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45737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45737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45737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45737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45737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45737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45737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45737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45737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45737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45737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45737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45737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45737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45737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45737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45737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45737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45737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45737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45737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45737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45737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45737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45737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45737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45737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45737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45737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45737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45737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45737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45737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45737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45737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45737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45737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45737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45737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45737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45737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45737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45737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45737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45737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45737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45737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45737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45737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45737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45737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45737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45737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45737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45737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45737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45737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45737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45737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45737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45737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45737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45737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45737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45737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45737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45737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45737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45737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45737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45737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45737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45737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45737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45737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45737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45737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45737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45737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45737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45737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45737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45737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45737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45737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45737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45737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45737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45737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45737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45737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45737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45737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45737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45737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45737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45737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45737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45737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45737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45737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45737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45737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45737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45737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45737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45737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45737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45737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45737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45737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45737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45737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45737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45737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45737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45737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45737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45737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45737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45737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45737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45737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45737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45737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45737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45737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45737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45737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45737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45737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45737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45737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45737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45737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45737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45737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45737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45737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45737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45737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45737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45737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45737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45737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45737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45737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45737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45737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45737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45737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45737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45737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45737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45737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45737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45737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45737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45737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45737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45737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45737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45737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45737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45737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45737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45737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45737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45737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45737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45737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45737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45737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45737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45737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45737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45737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45737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45737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45737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45737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45737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45737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45737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45737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45737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45737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45737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45737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45737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45737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45737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45737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45737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45737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45737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45737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45737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45737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45737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45737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45737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45737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45737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45737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45737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45737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45737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45737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45737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45737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45737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45737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45737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45737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45737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45737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45737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45737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45737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45737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45737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45737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45737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45737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45737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45737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45737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45737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45737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45737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45737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45737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45737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45737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45737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45737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45737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45737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45737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45737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45737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45737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45737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45737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45737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45737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45737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45737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45737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45737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45737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45737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45737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45737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45737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45737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45737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45737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45737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45737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45737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45737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45737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45737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45737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45737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45737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45737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45737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45737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45737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45737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45737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45737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45737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45737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45737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45737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45737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45737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45737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45737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45737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45737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45737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45737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45737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45737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45737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45737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45737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45737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45737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45737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45737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45737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45737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45737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45737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45737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45737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45737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45737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45737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45737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45737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45737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45737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45737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45737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45737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45737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45737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45737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45737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45737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45737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45737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45737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45737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45737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45737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45737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45737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45737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45737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45737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45737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45737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45737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45737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45737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45737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45737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45737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45737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45737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45737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45737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45737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45737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45737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45737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45737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45737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45737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45737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45737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45737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45737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45737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45737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45737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45737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45737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45737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45737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45737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45737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45737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45737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45737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45737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45737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45737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45737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45737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45737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45737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45737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45737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45737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45737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45737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45737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45737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45737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45737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45737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45737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45737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45737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45737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45737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45737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45737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45737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45737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45737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45737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45737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45737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45737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45737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45737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45737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45737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45737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45737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45737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45737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45737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45737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45737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45737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45737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45737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45737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45737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45737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45737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45737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45737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45737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45737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45737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45737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45737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45737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45737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45737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45737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45737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45737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45737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45737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45737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45737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45737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45737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45737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45737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45737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45737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45737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45737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45737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45737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45737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45737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45737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45737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45737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45737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45737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45737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45737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45737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45737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45737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45737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45737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10439-2025</t>
        </is>
      </c>
      <c r="B612" s="1" t="n">
        <v>45720</v>
      </c>
      <c r="C612" s="1" t="n">
        <v>45737</v>
      </c>
      <c r="D612" t="inlineStr">
        <is>
          <t>SÖDERMANLANDS LÄN</t>
        </is>
      </c>
      <c r="E612" t="inlineStr">
        <is>
          <t>GNESTA</t>
        </is>
      </c>
      <c r="F612" t="inlineStr">
        <is>
          <t>Allmännings- och besparingsskogar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10331-2025</t>
        </is>
      </c>
      <c r="B613" s="1" t="n">
        <v>45720</v>
      </c>
      <c r="C613" s="1" t="n">
        <v>45737</v>
      </c>
      <c r="D613" t="inlineStr">
        <is>
          <t>SÖDERMANLANDS LÄN</t>
        </is>
      </c>
      <c r="E613" t="inlineStr">
        <is>
          <t>GNESTA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10441-2025</t>
        </is>
      </c>
      <c r="B614" s="1" t="n">
        <v>45720</v>
      </c>
      <c r="C614" s="1" t="n">
        <v>45737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2025-03-21T17:19:01Z</dcterms:created>
  <dcterms:modified xmlns:dcterms="http://purl.org/dc/terms/" xmlns:xsi="http://www.w3.org/2001/XMLSchema-instance" xsi:type="dcterms:W3CDTF">2025-03-21T17:19:02Z</dcterms:modified>
</cp:coreProperties>
</file>