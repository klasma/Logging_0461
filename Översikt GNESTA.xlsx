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45351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45351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52854-2021</t>
        </is>
      </c>
      <c r="B4" s="1" t="n">
        <v>44467</v>
      </c>
      <c r="C4" s="1" t="n">
        <v>45351</v>
      </c>
      <c r="D4" t="inlineStr">
        <is>
          <t>SÖDERMANLANDS LÄN</t>
        </is>
      </c>
      <c r="E4" t="inlineStr">
        <is>
          <t>GNESTA</t>
        </is>
      </c>
      <c r="G4" t="n">
        <v>2.1</v>
      </c>
      <c r="H4" t="n">
        <v>0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7</v>
      </c>
      <c r="R4" s="2" t="inlineStr">
        <is>
          <t>Koppartaggsvamp
Orange taggsvamp
Fjällig taggsvamp s.str.
Rökmusseron
Skarp dropptaggsvamp
Sotriska
Svavelriska</t>
        </is>
      </c>
      <c r="S4">
        <f>HYPERLINK("https://klasma.github.io/Logging_0461/artfynd/A 52854-2021 artfynd.xlsx", "A 52854-2021")</f>
        <v/>
      </c>
      <c r="T4">
        <f>HYPERLINK("https://klasma.github.io/Logging_0461/kartor/A 52854-2021 karta.png", "A 52854-2021")</f>
        <v/>
      </c>
      <c r="V4">
        <f>HYPERLINK("https://klasma.github.io/Logging_0461/klagomål/A 52854-2021 FSC-klagomål.docx", "A 52854-2021")</f>
        <v/>
      </c>
      <c r="W4">
        <f>HYPERLINK("https://klasma.github.io/Logging_0461/klagomålsmail/A 52854-2021 FSC-klagomål mail.docx", "A 52854-2021")</f>
        <v/>
      </c>
      <c r="X4">
        <f>HYPERLINK("https://klasma.github.io/Logging_0461/tillsyn/A 52854-2021 tillsynsbegäran.docx", "A 52854-2021")</f>
        <v/>
      </c>
      <c r="Y4">
        <f>HYPERLINK("https://klasma.github.io/Logging_0461/tillsynsmail/A 52854-2021 tillsynsbegäran mail.docx", "A 52854-2021")</f>
        <v/>
      </c>
    </row>
    <row r="5" ht="15" customHeight="1">
      <c r="A5" t="inlineStr">
        <is>
          <t>A 68341-2021</t>
        </is>
      </c>
      <c r="B5" s="1" t="n">
        <v>44528</v>
      </c>
      <c r="C5" s="1" t="n">
        <v>45351</v>
      </c>
      <c r="D5" t="inlineStr">
        <is>
          <t>SÖDERMANLANDS LÄN</t>
        </is>
      </c>
      <c r="E5" t="inlineStr">
        <is>
          <t>GNESTA</t>
        </is>
      </c>
      <c r="G5" t="n">
        <v>1.1</v>
      </c>
      <c r="H5" t="n">
        <v>0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Koppartaggsvamp
Persiljespindling
Puderspindling
Diskvaxskivling
Fjällig taggsvamp s.str.
Skogshakmossa
Toppvaxskivling</t>
        </is>
      </c>
      <c r="S5">
        <f>HYPERLINK("https://klasma.github.io/Logging_0461/artfynd/A 68341-2021 artfynd.xlsx", "A 68341-2021")</f>
        <v/>
      </c>
      <c r="T5">
        <f>HYPERLINK("https://klasma.github.io/Logging_0461/kartor/A 68341-2021 karta.png", "A 68341-2021")</f>
        <v/>
      </c>
      <c r="V5">
        <f>HYPERLINK("https://klasma.github.io/Logging_0461/klagomål/A 68341-2021 FSC-klagomål.docx", "A 68341-2021")</f>
        <v/>
      </c>
      <c r="W5">
        <f>HYPERLINK("https://klasma.github.io/Logging_0461/klagomålsmail/A 68341-2021 FSC-klagomål mail.docx", "A 68341-2021")</f>
        <v/>
      </c>
      <c r="X5">
        <f>HYPERLINK("https://klasma.github.io/Logging_0461/tillsyn/A 68341-2021 tillsynsbegäran.docx", "A 68341-2021")</f>
        <v/>
      </c>
      <c r="Y5">
        <f>HYPERLINK("https://klasma.github.io/Logging_0461/tillsynsmail/A 68341-2021 tillsynsbegäran mail.docx", "A 68341-2021")</f>
        <v/>
      </c>
    </row>
    <row r="6" ht="15" customHeight="1">
      <c r="A6" t="inlineStr">
        <is>
          <t>A 17148-2019</t>
        </is>
      </c>
      <c r="B6" s="1" t="n">
        <v>43551</v>
      </c>
      <c r="C6" s="1" t="n">
        <v>45351</v>
      </c>
      <c r="D6" t="inlineStr">
        <is>
          <t>SÖDERMANLANDS LÄN</t>
        </is>
      </c>
      <c r="E6" t="inlineStr">
        <is>
          <t>GNESTA</t>
        </is>
      </c>
      <c r="G6" t="n">
        <v>15.5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Tallticka
Vedtrappmossa
Blomkålssvamp
Brandticka
Vågbandad barkbock</t>
        </is>
      </c>
      <c r="S6">
        <f>HYPERLINK("https://klasma.github.io/Logging_0461/artfynd/A 17148-2019 artfynd.xlsx", "A 17148-2019")</f>
        <v/>
      </c>
      <c r="T6">
        <f>HYPERLINK("https://klasma.github.io/Logging_0461/kartor/A 17148-2019 karta.png", "A 17148-2019")</f>
        <v/>
      </c>
      <c r="U6">
        <f>HYPERLINK("https://klasma.github.io/Logging_0461/knärot/A 17148-2019 karta knärot.png", "A 17148-2019")</f>
        <v/>
      </c>
      <c r="V6">
        <f>HYPERLINK("https://klasma.github.io/Logging_0461/klagomål/A 17148-2019 FSC-klagomål.docx", "A 17148-2019")</f>
        <v/>
      </c>
      <c r="W6">
        <f>HYPERLINK("https://klasma.github.io/Logging_0461/klagomålsmail/A 17148-2019 FSC-klagomål mail.docx", "A 17148-2019")</f>
        <v/>
      </c>
      <c r="X6">
        <f>HYPERLINK("https://klasma.github.io/Logging_0461/tillsyn/A 17148-2019 tillsynsbegäran.docx", "A 17148-2019")</f>
        <v/>
      </c>
      <c r="Y6">
        <f>HYPERLINK("https://klasma.github.io/Logging_0461/tillsynsmail/A 17148-2019 tillsynsbegäran mail.docx", "A 17148-2019")</f>
        <v/>
      </c>
    </row>
    <row r="7" ht="15" customHeight="1">
      <c r="A7" t="inlineStr">
        <is>
          <t>A 13835-2020</t>
        </is>
      </c>
      <c r="B7" s="1" t="n">
        <v>43896</v>
      </c>
      <c r="C7" s="1" t="n">
        <v>45351</v>
      </c>
      <c r="D7" t="inlineStr">
        <is>
          <t>SÖDERMANLANDS LÄN</t>
        </is>
      </c>
      <c r="E7" t="inlineStr">
        <is>
          <t>GNESTA</t>
        </is>
      </c>
      <c r="G7" t="n">
        <v>1.9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Skogsalm
Tallticka
Vårstarr
Hasselticka
Läderskål
Blåsippa</t>
        </is>
      </c>
      <c r="S7">
        <f>HYPERLINK("https://klasma.github.io/Logging_0461/artfynd/A 13835-2020 artfynd.xlsx", "A 13835-2020")</f>
        <v/>
      </c>
      <c r="T7">
        <f>HYPERLINK("https://klasma.github.io/Logging_0461/kartor/A 13835-2020 karta.png", "A 13835-2020")</f>
        <v/>
      </c>
      <c r="V7">
        <f>HYPERLINK("https://klasma.github.io/Logging_0461/klagomål/A 13835-2020 FSC-klagomål.docx", "A 13835-2020")</f>
        <v/>
      </c>
      <c r="W7">
        <f>HYPERLINK("https://klasma.github.io/Logging_0461/klagomålsmail/A 13835-2020 FSC-klagomål mail.docx", "A 13835-2020")</f>
        <v/>
      </c>
      <c r="X7">
        <f>HYPERLINK("https://klasma.github.io/Logging_0461/tillsyn/A 13835-2020 tillsynsbegäran.docx", "A 13835-2020")</f>
        <v/>
      </c>
      <c r="Y7">
        <f>HYPERLINK("https://klasma.github.io/Logging_0461/tillsynsmail/A 13835-2020 tillsynsbegäran mail.docx", "A 13835-2020")</f>
        <v/>
      </c>
    </row>
    <row r="8" ht="15" customHeight="1">
      <c r="A8" t="inlineStr">
        <is>
          <t>A 20728-2020</t>
        </is>
      </c>
      <c r="B8" s="1" t="n">
        <v>43948</v>
      </c>
      <c r="C8" s="1" t="n">
        <v>45351</v>
      </c>
      <c r="D8" t="inlineStr">
        <is>
          <t>SÖDERMANLANDS LÄN</t>
        </is>
      </c>
      <c r="E8" t="inlineStr">
        <is>
          <t>GNESTA</t>
        </is>
      </c>
      <c r="G8" t="n">
        <v>2.7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Bronshjon
Flagellkvastmossa
Grönpyrola
Svavelriska
Vågbandad barkbock</t>
        </is>
      </c>
      <c r="S8">
        <f>HYPERLINK("https://klasma.github.io/Logging_0461/artfynd/A 20728-2020 artfynd.xlsx", "A 20728-2020")</f>
        <v/>
      </c>
      <c r="T8">
        <f>HYPERLINK("https://klasma.github.io/Logging_0461/kartor/A 20728-2020 karta.png", "A 20728-2020")</f>
        <v/>
      </c>
      <c r="V8">
        <f>HYPERLINK("https://klasma.github.io/Logging_0461/klagomål/A 20728-2020 FSC-klagomål.docx", "A 20728-2020")</f>
        <v/>
      </c>
      <c r="W8">
        <f>HYPERLINK("https://klasma.github.io/Logging_0461/klagomålsmail/A 20728-2020 FSC-klagomål mail.docx", "A 20728-2020")</f>
        <v/>
      </c>
      <c r="X8">
        <f>HYPERLINK("https://klasma.github.io/Logging_0461/tillsyn/A 20728-2020 tillsynsbegäran.docx", "A 20728-2020")</f>
        <v/>
      </c>
      <c r="Y8">
        <f>HYPERLINK("https://klasma.github.io/Logging_0461/tillsynsmail/A 20728-2020 tillsynsbegäran mail.docx", "A 20728-2020")</f>
        <v/>
      </c>
    </row>
    <row r="9" ht="15" customHeight="1">
      <c r="A9" t="inlineStr">
        <is>
          <t>A 56342-2018</t>
        </is>
      </c>
      <c r="B9" s="1" t="n">
        <v>43399</v>
      </c>
      <c r="C9" s="1" t="n">
        <v>45351</v>
      </c>
      <c r="D9" t="inlineStr">
        <is>
          <t>SÖDERMANLANDS LÄN</t>
        </is>
      </c>
      <c r="E9" t="inlineStr">
        <is>
          <t>GNESTA</t>
        </is>
      </c>
      <c r="G9" t="n">
        <v>1.6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Gullklöver
Svinrot
Ängsskära
Svart trolldruva</t>
        </is>
      </c>
      <c r="S9">
        <f>HYPERLINK("https://klasma.github.io/Logging_0461/artfynd/A 56342-2018 artfynd.xlsx", "A 56342-2018")</f>
        <v/>
      </c>
      <c r="T9">
        <f>HYPERLINK("https://klasma.github.io/Logging_0461/kartor/A 56342-2018 karta.png", "A 56342-2018")</f>
        <v/>
      </c>
      <c r="V9">
        <f>HYPERLINK("https://klasma.github.io/Logging_0461/klagomål/A 56342-2018 FSC-klagomål.docx", "A 56342-2018")</f>
        <v/>
      </c>
      <c r="W9">
        <f>HYPERLINK("https://klasma.github.io/Logging_0461/klagomålsmail/A 56342-2018 FSC-klagomål mail.docx", "A 56342-2018")</f>
        <v/>
      </c>
      <c r="X9">
        <f>HYPERLINK("https://klasma.github.io/Logging_0461/tillsyn/A 56342-2018 tillsynsbegäran.docx", "A 56342-2018")</f>
        <v/>
      </c>
      <c r="Y9">
        <f>HYPERLINK("https://klasma.github.io/Logging_0461/tillsynsmail/A 56342-2018 tillsynsbegäran mail.docx", "A 56342-2018")</f>
        <v/>
      </c>
    </row>
    <row r="10" ht="15" customHeight="1">
      <c r="A10" t="inlineStr">
        <is>
          <t>A 69355-2020</t>
        </is>
      </c>
      <c r="B10" s="1" t="n">
        <v>44193</v>
      </c>
      <c r="C10" s="1" t="n">
        <v>45351</v>
      </c>
      <c r="D10" t="inlineStr">
        <is>
          <t>SÖDERMANLANDS LÄN</t>
        </is>
      </c>
      <c r="E10" t="inlineStr">
        <is>
          <t>GNESTA</t>
        </is>
      </c>
      <c r="G10" t="n">
        <v>7.9</v>
      </c>
      <c r="H10" t="n">
        <v>3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Fjällvråk
Hornuggla
Spillkråka
Myskbock</t>
        </is>
      </c>
      <c r="S10">
        <f>HYPERLINK("https://klasma.github.io/Logging_0461/artfynd/A 69355-2020 artfynd.xlsx", "A 69355-2020")</f>
        <v/>
      </c>
      <c r="T10">
        <f>HYPERLINK("https://klasma.github.io/Logging_0461/kartor/A 69355-2020 karta.png", "A 69355-2020")</f>
        <v/>
      </c>
      <c r="V10">
        <f>HYPERLINK("https://klasma.github.io/Logging_0461/klagomål/A 69355-2020 FSC-klagomål.docx", "A 69355-2020")</f>
        <v/>
      </c>
      <c r="W10">
        <f>HYPERLINK("https://klasma.github.io/Logging_0461/klagomålsmail/A 69355-2020 FSC-klagomål mail.docx", "A 69355-2020")</f>
        <v/>
      </c>
      <c r="X10">
        <f>HYPERLINK("https://klasma.github.io/Logging_0461/tillsyn/A 69355-2020 tillsynsbegäran.docx", "A 69355-2020")</f>
        <v/>
      </c>
      <c r="Y10">
        <f>HYPERLINK("https://klasma.github.io/Logging_0461/tillsynsmail/A 69355-2020 tillsynsbegäran mail.docx", "A 69355-2020")</f>
        <v/>
      </c>
      <c r="Z10">
        <f>HYPERLINK("https://klasma.github.io/Logging_0461/fåglar/A 69355-2020 prioriterade fågelarter.docx", "A 69355-2020")</f>
        <v/>
      </c>
    </row>
    <row r="11" ht="15" customHeight="1">
      <c r="A11" t="inlineStr">
        <is>
          <t>A 20402-2020</t>
        </is>
      </c>
      <c r="B11" s="1" t="n">
        <v>43945</v>
      </c>
      <c r="C11" s="1" t="n">
        <v>45351</v>
      </c>
      <c r="D11" t="inlineStr">
        <is>
          <t>SÖDERMANLANDS LÄN</t>
        </is>
      </c>
      <c r="E11" t="inlineStr">
        <is>
          <t>GNESTA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Strutbräken
Sårläka</t>
        </is>
      </c>
      <c r="S11">
        <f>HYPERLINK("https://klasma.github.io/Logging_0461/artfynd/A 20402-2020 artfynd.xlsx", "A 20402-2020")</f>
        <v/>
      </c>
      <c r="T11">
        <f>HYPERLINK("https://klasma.github.io/Logging_0461/kartor/A 20402-2020 karta.png", "A 20402-2020")</f>
        <v/>
      </c>
      <c r="V11">
        <f>HYPERLINK("https://klasma.github.io/Logging_0461/klagomål/A 20402-2020 FSC-klagomål.docx", "A 20402-2020")</f>
        <v/>
      </c>
      <c r="W11">
        <f>HYPERLINK("https://klasma.github.io/Logging_0461/klagomålsmail/A 20402-2020 FSC-klagomål mail.docx", "A 20402-2020")</f>
        <v/>
      </c>
      <c r="X11">
        <f>HYPERLINK("https://klasma.github.io/Logging_0461/tillsyn/A 20402-2020 tillsynsbegäran.docx", "A 20402-2020")</f>
        <v/>
      </c>
      <c r="Y11">
        <f>HYPERLINK("https://klasma.github.io/Logging_0461/tillsynsmail/A 20402-2020 tillsynsbegäran mail.docx", "A 20402-2020")</f>
        <v/>
      </c>
    </row>
    <row r="12" ht="15" customHeight="1">
      <c r="A12" t="inlineStr">
        <is>
          <t>A 20124-2022</t>
        </is>
      </c>
      <c r="B12" s="1" t="n">
        <v>44698</v>
      </c>
      <c r="C12" s="1" t="n">
        <v>45351</v>
      </c>
      <c r="D12" t="inlineStr">
        <is>
          <t>SÖDERMANLANDS LÄN</t>
        </is>
      </c>
      <c r="E12" t="inlineStr">
        <is>
          <t>GNESTA</t>
        </is>
      </c>
      <c r="G12" t="n">
        <v>6.2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Orange taggsvamp
Skogshare
Tallticka</t>
        </is>
      </c>
      <c r="S12">
        <f>HYPERLINK("https://klasma.github.io/Logging_0461/artfynd/A 20124-2022 artfynd.xlsx", "A 20124-2022")</f>
        <v/>
      </c>
      <c r="T12">
        <f>HYPERLINK("https://klasma.github.io/Logging_0461/kartor/A 20124-2022 karta.png", "A 20124-2022")</f>
        <v/>
      </c>
      <c r="V12">
        <f>HYPERLINK("https://klasma.github.io/Logging_0461/klagomål/A 20124-2022 FSC-klagomål.docx", "A 20124-2022")</f>
        <v/>
      </c>
      <c r="W12">
        <f>HYPERLINK("https://klasma.github.io/Logging_0461/klagomålsmail/A 20124-2022 FSC-klagomål mail.docx", "A 20124-2022")</f>
        <v/>
      </c>
      <c r="X12">
        <f>HYPERLINK("https://klasma.github.io/Logging_0461/tillsyn/A 20124-2022 tillsynsbegäran.docx", "A 20124-2022")</f>
        <v/>
      </c>
      <c r="Y12">
        <f>HYPERLINK("https://klasma.github.io/Logging_0461/tillsynsmail/A 20124-2022 tillsynsbegäran mail.docx", "A 20124-2022")</f>
        <v/>
      </c>
    </row>
    <row r="13" ht="15" customHeight="1">
      <c r="A13" t="inlineStr">
        <is>
          <t>A 37714-2019</t>
        </is>
      </c>
      <c r="B13" s="1" t="n">
        <v>43682</v>
      </c>
      <c r="C13" s="1" t="n">
        <v>45351</v>
      </c>
      <c r="D13" t="inlineStr">
        <is>
          <t>SÖDERMANLANDS LÄN</t>
        </is>
      </c>
      <c r="E13" t="inlineStr">
        <is>
          <t>GNESTA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HYPERLINK("https://klasma.github.io/Logging_0461/artfynd/A 37714-2019 artfynd.xlsx", "A 37714-2019")</f>
        <v/>
      </c>
      <c r="T13">
        <f>HYPERLINK("https://klasma.github.io/Logging_0461/kartor/A 37714-2019 karta.png", "A 37714-2019")</f>
        <v/>
      </c>
      <c r="V13">
        <f>HYPERLINK("https://klasma.github.io/Logging_0461/klagomål/A 37714-2019 FSC-klagomål.docx", "A 37714-2019")</f>
        <v/>
      </c>
      <c r="W13">
        <f>HYPERLINK("https://klasma.github.io/Logging_0461/klagomålsmail/A 37714-2019 FSC-klagomål mail.docx", "A 37714-2019")</f>
        <v/>
      </c>
      <c r="X13">
        <f>HYPERLINK("https://klasma.github.io/Logging_0461/tillsyn/A 37714-2019 tillsynsbegäran.docx", "A 37714-2019")</f>
        <v/>
      </c>
      <c r="Y13">
        <f>HYPERLINK("https://klasma.github.io/Logging_0461/tillsynsmail/A 37714-2019 tillsynsbegäran mail.docx", "A 37714-2019")</f>
        <v/>
      </c>
    </row>
    <row r="14" ht="15" customHeight="1">
      <c r="A14" t="inlineStr">
        <is>
          <t>A 12232-2023</t>
        </is>
      </c>
      <c r="B14" s="1" t="n">
        <v>44998</v>
      </c>
      <c r="C14" s="1" t="n">
        <v>45351</v>
      </c>
      <c r="D14" t="inlineStr">
        <is>
          <t>SÖDERMANLANDS LÄN</t>
        </is>
      </c>
      <c r="E14" t="inlineStr">
        <is>
          <t>GNESTA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HYPERLINK("https://klasma.github.io/Logging_0461/artfynd/A 12232-2023 artfynd.xlsx", "A 12232-2023")</f>
        <v/>
      </c>
      <c r="T14">
        <f>HYPERLINK("https://klasma.github.io/Logging_0461/kartor/A 12232-2023 karta.png", "A 12232-2023")</f>
        <v/>
      </c>
      <c r="V14">
        <f>HYPERLINK("https://klasma.github.io/Logging_0461/klagomål/A 12232-2023 FSC-klagomål.docx", "A 12232-2023")</f>
        <v/>
      </c>
      <c r="W14">
        <f>HYPERLINK("https://klasma.github.io/Logging_0461/klagomålsmail/A 12232-2023 FSC-klagomål mail.docx", "A 12232-2023")</f>
        <v/>
      </c>
      <c r="X14">
        <f>HYPERLINK("https://klasma.github.io/Logging_0461/tillsyn/A 12232-2023 tillsynsbegäran.docx", "A 12232-2023")</f>
        <v/>
      </c>
      <c r="Y14">
        <f>HYPERLINK("https://klasma.github.io/Logging_0461/tillsynsmail/A 12232-2023 tillsynsbegäran mail.docx", "A 12232-2023")</f>
        <v/>
      </c>
    </row>
    <row r="15" ht="15" customHeight="1">
      <c r="A15" t="inlineStr">
        <is>
          <t>A 63736-2023</t>
        </is>
      </c>
      <c r="B15" s="1" t="n">
        <v>45277</v>
      </c>
      <c r="C15" s="1" t="n">
        <v>45351</v>
      </c>
      <c r="D15" t="inlineStr">
        <is>
          <t>SÖDERMANLANDS LÄN</t>
        </is>
      </c>
      <c r="E15" t="inlineStr">
        <is>
          <t>GNESTA</t>
        </is>
      </c>
      <c r="G15" t="n">
        <v>5.2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Kopparödla</t>
        </is>
      </c>
      <c r="S15">
        <f>HYPERLINK("https://klasma.github.io/Logging_0461/artfynd/A 63736-2023 artfynd.xlsx", "A 63736-2023")</f>
        <v/>
      </c>
      <c r="T15">
        <f>HYPERLINK("https://klasma.github.io/Logging_0461/kartor/A 63736-2023 karta.png", "A 63736-2023")</f>
        <v/>
      </c>
      <c r="V15">
        <f>HYPERLINK("https://klasma.github.io/Logging_0461/klagomål/A 63736-2023 FSC-klagomål.docx", "A 63736-2023")</f>
        <v/>
      </c>
      <c r="W15">
        <f>HYPERLINK("https://klasma.github.io/Logging_0461/klagomålsmail/A 63736-2023 FSC-klagomål mail.docx", "A 63736-2023")</f>
        <v/>
      </c>
      <c r="X15">
        <f>HYPERLINK("https://klasma.github.io/Logging_0461/tillsyn/A 63736-2023 tillsynsbegäran.docx", "A 63736-2023")</f>
        <v/>
      </c>
      <c r="Y15">
        <f>HYPERLINK("https://klasma.github.io/Logging_0461/tillsynsmail/A 63736-2023 tillsynsbegäran mail.docx", "A 63736-2023")</f>
        <v/>
      </c>
    </row>
    <row r="16" ht="15" customHeight="1">
      <c r="A16" t="inlineStr">
        <is>
          <t>A 36567-2018</t>
        </is>
      </c>
      <c r="B16" s="1" t="n">
        <v>43329</v>
      </c>
      <c r="C16" s="1" t="n">
        <v>45351</v>
      </c>
      <c r="D16" t="inlineStr">
        <is>
          <t>SÖDERMANLANDS LÄN</t>
        </is>
      </c>
      <c r="E16" t="inlineStr">
        <is>
          <t>GNESTA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HYPERLINK("https://klasma.github.io/Logging_0461/artfynd/A 36567-2018 artfynd.xlsx", "A 36567-2018")</f>
        <v/>
      </c>
      <c r="T16">
        <f>HYPERLINK("https://klasma.github.io/Logging_0461/kartor/A 36567-2018 karta.png", "A 36567-2018")</f>
        <v/>
      </c>
      <c r="V16">
        <f>HYPERLINK("https://klasma.github.io/Logging_0461/klagomål/A 36567-2018 FSC-klagomål.docx", "A 36567-2018")</f>
        <v/>
      </c>
      <c r="W16">
        <f>HYPERLINK("https://klasma.github.io/Logging_0461/klagomålsmail/A 36567-2018 FSC-klagomål mail.docx", "A 36567-2018")</f>
        <v/>
      </c>
      <c r="X16">
        <f>HYPERLINK("https://klasma.github.io/Logging_0461/tillsyn/A 36567-2018 tillsynsbegäran.docx", "A 36567-2018")</f>
        <v/>
      </c>
      <c r="Y16">
        <f>HYPERLINK("https://klasma.github.io/Logging_0461/tillsynsmail/A 36567-2018 tillsynsbegäran mail.docx", "A 36567-2018")</f>
        <v/>
      </c>
    </row>
    <row r="17" ht="15" customHeight="1">
      <c r="A17" t="inlineStr">
        <is>
          <t>A 45577-2019</t>
        </is>
      </c>
      <c r="B17" s="1" t="n">
        <v>43716</v>
      </c>
      <c r="C17" s="1" t="n">
        <v>45351</v>
      </c>
      <c r="D17" t="inlineStr">
        <is>
          <t>SÖDERMANLANDS LÄN</t>
        </is>
      </c>
      <c r="E17" t="inlineStr">
        <is>
          <t>GNESTA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HYPERLINK("https://klasma.github.io/Logging_0461/artfynd/A 45577-2019 artfynd.xlsx", "A 45577-2019")</f>
        <v/>
      </c>
      <c r="T17">
        <f>HYPERLINK("https://klasma.github.io/Logging_0461/kartor/A 45577-2019 karta.png", "A 45577-2019")</f>
        <v/>
      </c>
      <c r="V17">
        <f>HYPERLINK("https://klasma.github.io/Logging_0461/klagomål/A 45577-2019 FSC-klagomål.docx", "A 45577-2019")</f>
        <v/>
      </c>
      <c r="W17">
        <f>HYPERLINK("https://klasma.github.io/Logging_0461/klagomålsmail/A 45577-2019 FSC-klagomål mail.docx", "A 45577-2019")</f>
        <v/>
      </c>
      <c r="X17">
        <f>HYPERLINK("https://klasma.github.io/Logging_0461/tillsyn/A 45577-2019 tillsynsbegäran.docx", "A 45577-2019")</f>
        <v/>
      </c>
      <c r="Y17">
        <f>HYPERLINK("https://klasma.github.io/Logging_0461/tillsynsmail/A 45577-2019 tillsynsbegäran mail.docx", "A 45577-2019")</f>
        <v/>
      </c>
    </row>
    <row r="18" ht="15" customHeight="1">
      <c r="A18" t="inlineStr">
        <is>
          <t>A 51437-2019</t>
        </is>
      </c>
      <c r="B18" s="1" t="n">
        <v>43740</v>
      </c>
      <c r="C18" s="1" t="n">
        <v>45351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HYPERLINK("https://klasma.github.io/Logging_0461/artfynd/A 51437-2019 artfynd.xlsx", "A 51437-2019")</f>
        <v/>
      </c>
      <c r="T18">
        <f>HYPERLINK("https://klasma.github.io/Logging_0461/kartor/A 51437-2019 karta.png", "A 51437-2019")</f>
        <v/>
      </c>
      <c r="V18">
        <f>HYPERLINK("https://klasma.github.io/Logging_0461/klagomål/A 51437-2019 FSC-klagomål.docx", "A 51437-2019")</f>
        <v/>
      </c>
      <c r="W18">
        <f>HYPERLINK("https://klasma.github.io/Logging_0461/klagomålsmail/A 51437-2019 FSC-klagomål mail.docx", "A 51437-2019")</f>
        <v/>
      </c>
      <c r="X18">
        <f>HYPERLINK("https://klasma.github.io/Logging_0461/tillsyn/A 51437-2019 tillsynsbegäran.docx", "A 51437-2019")</f>
        <v/>
      </c>
      <c r="Y18">
        <f>HYPERLINK("https://klasma.github.io/Logging_0461/tillsynsmail/A 51437-2019 tillsynsbegäran mail.docx", "A 51437-2019")</f>
        <v/>
      </c>
    </row>
    <row r="19" ht="15" customHeight="1">
      <c r="A19" t="inlineStr">
        <is>
          <t>A 13747-2020</t>
        </is>
      </c>
      <c r="B19" s="1" t="n">
        <v>43896</v>
      </c>
      <c r="C19" s="1" t="n">
        <v>45351</v>
      </c>
      <c r="D19" t="inlineStr">
        <is>
          <t>SÖDERMANLANDS LÄN</t>
        </is>
      </c>
      <c r="E19" t="inlineStr">
        <is>
          <t>GNESTA</t>
        </is>
      </c>
      <c r="G19" t="n">
        <v>6.6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HYPERLINK("https://klasma.github.io/Logging_0461/artfynd/A 13747-2020 artfynd.xlsx", "A 13747-2020")</f>
        <v/>
      </c>
      <c r="T19">
        <f>HYPERLINK("https://klasma.github.io/Logging_0461/kartor/A 13747-2020 karta.png", "A 13747-2020")</f>
        <v/>
      </c>
      <c r="V19">
        <f>HYPERLINK("https://klasma.github.io/Logging_0461/klagomål/A 13747-2020 FSC-klagomål.docx", "A 13747-2020")</f>
        <v/>
      </c>
      <c r="W19">
        <f>HYPERLINK("https://klasma.github.io/Logging_0461/klagomålsmail/A 13747-2020 FSC-klagomål mail.docx", "A 13747-2020")</f>
        <v/>
      </c>
      <c r="X19">
        <f>HYPERLINK("https://klasma.github.io/Logging_0461/tillsyn/A 13747-2020 tillsynsbegäran.docx", "A 13747-2020")</f>
        <v/>
      </c>
      <c r="Y19">
        <f>HYPERLINK("https://klasma.github.io/Logging_0461/tillsynsmail/A 13747-2020 tillsynsbegäran mail.docx", "A 13747-2020")</f>
        <v/>
      </c>
    </row>
    <row r="20" ht="15" customHeight="1">
      <c r="A20" t="inlineStr">
        <is>
          <t>A 51080-2020</t>
        </is>
      </c>
      <c r="B20" s="1" t="n">
        <v>44112</v>
      </c>
      <c r="C20" s="1" t="n">
        <v>45351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HYPERLINK("https://klasma.github.io/Logging_0461/artfynd/A 51080-2020 artfynd.xlsx", "A 51080-2020")</f>
        <v/>
      </c>
      <c r="T20">
        <f>HYPERLINK("https://klasma.github.io/Logging_0461/kartor/A 51080-2020 karta.png", "A 51080-2020")</f>
        <v/>
      </c>
      <c r="V20">
        <f>HYPERLINK("https://klasma.github.io/Logging_0461/klagomål/A 51080-2020 FSC-klagomål.docx", "A 51080-2020")</f>
        <v/>
      </c>
      <c r="W20">
        <f>HYPERLINK("https://klasma.github.io/Logging_0461/klagomålsmail/A 51080-2020 FSC-klagomål mail.docx", "A 51080-2020")</f>
        <v/>
      </c>
      <c r="X20">
        <f>HYPERLINK("https://klasma.github.io/Logging_0461/tillsyn/A 51080-2020 tillsynsbegäran.docx", "A 51080-2020")</f>
        <v/>
      </c>
      <c r="Y20">
        <f>HYPERLINK("https://klasma.github.io/Logging_0461/tillsynsmail/A 51080-2020 tillsynsbegäran mail.docx", "A 51080-2020")</f>
        <v/>
      </c>
    </row>
    <row r="21" ht="15" customHeight="1">
      <c r="A21" t="inlineStr">
        <is>
          <t>A 52828-2020</t>
        </is>
      </c>
      <c r="B21" s="1" t="n">
        <v>44119</v>
      </c>
      <c r="C21" s="1" t="n">
        <v>45351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HYPERLINK("https://klasma.github.io/Logging_0461/artfynd/A 52828-2020 artfynd.xlsx", "A 52828-2020")</f>
        <v/>
      </c>
      <c r="T21">
        <f>HYPERLINK("https://klasma.github.io/Logging_0461/kartor/A 52828-2020 karta.png", "A 52828-2020")</f>
        <v/>
      </c>
      <c r="V21">
        <f>HYPERLINK("https://klasma.github.io/Logging_0461/klagomål/A 52828-2020 FSC-klagomål.docx", "A 52828-2020")</f>
        <v/>
      </c>
      <c r="W21">
        <f>HYPERLINK("https://klasma.github.io/Logging_0461/klagomålsmail/A 52828-2020 FSC-klagomål mail.docx", "A 52828-2020")</f>
        <v/>
      </c>
      <c r="X21">
        <f>HYPERLINK("https://klasma.github.io/Logging_0461/tillsyn/A 52828-2020 tillsynsbegäran.docx", "A 52828-2020")</f>
        <v/>
      </c>
      <c r="Y21">
        <f>HYPERLINK("https://klasma.github.io/Logging_0461/tillsynsmail/A 52828-2020 tillsynsbegäran mail.docx", "A 52828-2020")</f>
        <v/>
      </c>
      <c r="Z21">
        <f>HYPERLINK("https://klasma.github.io/Logging_0461/fåglar/A 52828-2020 prioriterade fågelarter.docx", "A 52828-2020")</f>
        <v/>
      </c>
    </row>
    <row r="22" ht="15" customHeight="1">
      <c r="A22" t="inlineStr">
        <is>
          <t>A 11150-2021</t>
        </is>
      </c>
      <c r="B22" s="1" t="n">
        <v>44261</v>
      </c>
      <c r="C22" s="1" t="n">
        <v>45351</v>
      </c>
      <c r="D22" t="inlineStr">
        <is>
          <t>SÖDERMANLANDS LÄN</t>
        </is>
      </c>
      <c r="E22" t="inlineStr">
        <is>
          <t>GNESTA</t>
        </is>
      </c>
      <c r="G22" t="n">
        <v>0.8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HYPERLINK("https://klasma.github.io/Logging_0461/artfynd/A 11150-2021 artfynd.xlsx", "A 11150-2021")</f>
        <v/>
      </c>
      <c r="T22">
        <f>HYPERLINK("https://klasma.github.io/Logging_0461/kartor/A 11150-2021 karta.png", "A 11150-2021")</f>
        <v/>
      </c>
      <c r="V22">
        <f>HYPERLINK("https://klasma.github.io/Logging_0461/klagomål/A 11150-2021 FSC-klagomål.docx", "A 11150-2021")</f>
        <v/>
      </c>
      <c r="W22">
        <f>HYPERLINK("https://klasma.github.io/Logging_0461/klagomålsmail/A 11150-2021 FSC-klagomål mail.docx", "A 11150-2021")</f>
        <v/>
      </c>
      <c r="X22">
        <f>HYPERLINK("https://klasma.github.io/Logging_0461/tillsyn/A 11150-2021 tillsynsbegäran.docx", "A 11150-2021")</f>
        <v/>
      </c>
      <c r="Y22">
        <f>HYPERLINK("https://klasma.github.io/Logging_0461/tillsynsmail/A 11150-2021 tillsynsbegäran mail.docx", "A 11150-2021")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45351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2012-2022</t>
        </is>
      </c>
      <c r="B24" s="1" t="n">
        <v>44575</v>
      </c>
      <c r="C24" s="1" t="n">
        <v>45351</v>
      </c>
      <c r="D24" t="inlineStr">
        <is>
          <t>SÖDERMANLANDS LÄN</t>
        </is>
      </c>
      <c r="E24" t="inlineStr">
        <is>
          <t>GNESTA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HYPERLINK("https://klasma.github.io/Logging_0461/artfynd/A 2012-2022 artfynd.xlsx", "A 2012-2022")</f>
        <v/>
      </c>
      <c r="T24">
        <f>HYPERLINK("https://klasma.github.io/Logging_0461/kartor/A 2012-2022 karta.png", "A 2012-2022")</f>
        <v/>
      </c>
      <c r="V24">
        <f>HYPERLINK("https://klasma.github.io/Logging_0461/klagomål/A 2012-2022 FSC-klagomål.docx", "A 2012-2022")</f>
        <v/>
      </c>
      <c r="W24">
        <f>HYPERLINK("https://klasma.github.io/Logging_0461/klagomålsmail/A 2012-2022 FSC-klagomål mail.docx", "A 2012-2022")</f>
        <v/>
      </c>
      <c r="X24">
        <f>HYPERLINK("https://klasma.github.io/Logging_0461/tillsyn/A 2012-2022 tillsynsbegäran.docx", "A 2012-2022")</f>
        <v/>
      </c>
      <c r="Y24">
        <f>HYPERLINK("https://klasma.github.io/Logging_0461/tillsynsmail/A 2012-2022 tillsynsbegäran mail.docx", "A 2012-2022")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45351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45351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42227-2022</t>
        </is>
      </c>
      <c r="B27" s="1" t="n">
        <v>44830</v>
      </c>
      <c r="C27" s="1" t="n">
        <v>45351</v>
      </c>
      <c r="D27" t="inlineStr">
        <is>
          <t>SÖDERMANLANDS LÄN</t>
        </is>
      </c>
      <c r="E27" t="inlineStr">
        <is>
          <t>GNESTA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HYPERLINK("https://klasma.github.io/Logging_0461/artfynd/A 42227-2022 artfynd.xlsx", "A 42227-2022")</f>
        <v/>
      </c>
      <c r="T27">
        <f>HYPERLINK("https://klasma.github.io/Logging_0461/kartor/A 42227-2022 karta.png", "A 42227-2022")</f>
        <v/>
      </c>
      <c r="V27">
        <f>HYPERLINK("https://klasma.github.io/Logging_0461/klagomål/A 42227-2022 FSC-klagomål.docx", "A 42227-2022")</f>
        <v/>
      </c>
      <c r="W27">
        <f>HYPERLINK("https://klasma.github.io/Logging_0461/klagomålsmail/A 42227-2022 FSC-klagomål mail.docx", "A 42227-2022")</f>
        <v/>
      </c>
      <c r="X27">
        <f>HYPERLINK("https://klasma.github.io/Logging_0461/tillsyn/A 42227-2022 tillsynsbegäran.docx", "A 42227-2022")</f>
        <v/>
      </c>
      <c r="Y27">
        <f>HYPERLINK("https://klasma.github.io/Logging_0461/tillsynsmail/A 42227-2022 tillsynsbegäran mail.docx", "A 42227-2022")</f>
        <v/>
      </c>
    </row>
    <row r="28" ht="15" customHeight="1">
      <c r="A28" t="inlineStr">
        <is>
          <t>A 44782-2022</t>
        </is>
      </c>
      <c r="B28" s="1" t="n">
        <v>44839</v>
      </c>
      <c r="C28" s="1" t="n">
        <v>45351</v>
      </c>
      <c r="D28" t="inlineStr">
        <is>
          <t>SÖDERMANLANDS LÄN</t>
        </is>
      </c>
      <c r="E28" t="inlineStr">
        <is>
          <t>GNESTA</t>
        </is>
      </c>
      <c r="G28" t="n">
        <v>5.6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Bredbrämad bastardsvärmare</t>
        </is>
      </c>
      <c r="S28">
        <f>HYPERLINK("https://klasma.github.io/Logging_0461/artfynd/A 44782-2022 artfynd.xlsx", "A 44782-2022")</f>
        <v/>
      </c>
      <c r="T28">
        <f>HYPERLINK("https://klasma.github.io/Logging_0461/kartor/A 44782-2022 karta.png", "A 44782-2022")</f>
        <v/>
      </c>
      <c r="V28">
        <f>HYPERLINK("https://klasma.github.io/Logging_0461/klagomål/A 44782-2022 FSC-klagomål.docx", "A 44782-2022")</f>
        <v/>
      </c>
      <c r="W28">
        <f>HYPERLINK("https://klasma.github.io/Logging_0461/klagomålsmail/A 44782-2022 FSC-klagomål mail.docx", "A 44782-2022")</f>
        <v/>
      </c>
      <c r="X28">
        <f>HYPERLINK("https://klasma.github.io/Logging_0461/tillsyn/A 44782-2022 tillsynsbegäran.docx", "A 44782-2022")</f>
        <v/>
      </c>
      <c r="Y28">
        <f>HYPERLINK("https://klasma.github.io/Logging_0461/tillsynsmail/A 44782-2022 tillsynsbegäran mail.docx", "A 44782-2022")</f>
        <v/>
      </c>
    </row>
    <row r="29" ht="15" customHeight="1">
      <c r="A29" t="inlineStr">
        <is>
          <t>A 45656-2022</t>
        </is>
      </c>
      <c r="B29" s="1" t="n">
        <v>44841</v>
      </c>
      <c r="C29" s="1" t="n">
        <v>45351</v>
      </c>
      <c r="D29" t="inlineStr">
        <is>
          <t>SÖDERMANLANDS LÄN</t>
        </is>
      </c>
      <c r="E29" t="inlineStr">
        <is>
          <t>GNESTA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HYPERLINK("https://klasma.github.io/Logging_0461/artfynd/A 45656-2022 artfynd.xlsx", "A 45656-2022")</f>
        <v/>
      </c>
      <c r="T29">
        <f>HYPERLINK("https://klasma.github.io/Logging_0461/kartor/A 45656-2022 karta.png", "A 45656-2022")</f>
        <v/>
      </c>
      <c r="V29">
        <f>HYPERLINK("https://klasma.github.io/Logging_0461/klagomål/A 45656-2022 FSC-klagomål.docx", "A 45656-2022")</f>
        <v/>
      </c>
      <c r="W29">
        <f>HYPERLINK("https://klasma.github.io/Logging_0461/klagomålsmail/A 45656-2022 FSC-klagomål mail.docx", "A 45656-2022")</f>
        <v/>
      </c>
      <c r="X29">
        <f>HYPERLINK("https://klasma.github.io/Logging_0461/tillsyn/A 45656-2022 tillsynsbegäran.docx", "A 45656-2022")</f>
        <v/>
      </c>
      <c r="Y29">
        <f>HYPERLINK("https://klasma.github.io/Logging_0461/tillsynsmail/A 45656-2022 tillsynsbegäran mail.docx", "A 45656-2022")</f>
        <v/>
      </c>
    </row>
    <row r="30" ht="15" customHeight="1">
      <c r="A30" t="inlineStr">
        <is>
          <t>A 49460-2022</t>
        </is>
      </c>
      <c r="B30" s="1" t="n">
        <v>44861</v>
      </c>
      <c r="C30" s="1" t="n">
        <v>45351</v>
      </c>
      <c r="D30" t="inlineStr">
        <is>
          <t>SÖDERMANLANDS LÄN</t>
        </is>
      </c>
      <c r="E30" t="inlineStr">
        <is>
          <t>GNESTA</t>
        </is>
      </c>
      <c r="G30" t="n">
        <v>8.5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HYPERLINK("https://klasma.github.io/Logging_0461/artfynd/A 49460-2022 artfynd.xlsx", "A 49460-2022")</f>
        <v/>
      </c>
      <c r="T30">
        <f>HYPERLINK("https://klasma.github.io/Logging_0461/kartor/A 49460-2022 karta.png", "A 49460-2022")</f>
        <v/>
      </c>
      <c r="V30">
        <f>HYPERLINK("https://klasma.github.io/Logging_0461/klagomål/A 49460-2022 FSC-klagomål.docx", "A 49460-2022")</f>
        <v/>
      </c>
      <c r="W30">
        <f>HYPERLINK("https://klasma.github.io/Logging_0461/klagomålsmail/A 49460-2022 FSC-klagomål mail.docx", "A 49460-2022")</f>
        <v/>
      </c>
      <c r="X30">
        <f>HYPERLINK("https://klasma.github.io/Logging_0461/tillsyn/A 49460-2022 tillsynsbegäran.docx", "A 49460-2022")</f>
        <v/>
      </c>
      <c r="Y30">
        <f>HYPERLINK("https://klasma.github.io/Logging_0461/tillsynsmail/A 49460-2022 tillsynsbegäran mail.docx", "A 49460-2022")</f>
        <v/>
      </c>
    </row>
    <row r="31" ht="15" customHeight="1">
      <c r="A31" t="inlineStr">
        <is>
          <t>A 49442-2022</t>
        </is>
      </c>
      <c r="B31" s="1" t="n">
        <v>44861</v>
      </c>
      <c r="C31" s="1" t="n">
        <v>45351</v>
      </c>
      <c r="D31" t="inlineStr">
        <is>
          <t>SÖDERMANLANDS LÄN</t>
        </is>
      </c>
      <c r="E31" t="inlineStr">
        <is>
          <t>GNESTA</t>
        </is>
      </c>
      <c r="G31" t="n">
        <v>3.6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Streckvaxskivling</t>
        </is>
      </c>
      <c r="S31">
        <f>HYPERLINK("https://klasma.github.io/Logging_0461/artfynd/A 49442-2022 artfynd.xlsx", "A 49442-2022")</f>
        <v/>
      </c>
      <c r="T31">
        <f>HYPERLINK("https://klasma.github.io/Logging_0461/kartor/A 49442-2022 karta.png", "A 49442-2022")</f>
        <v/>
      </c>
      <c r="V31">
        <f>HYPERLINK("https://klasma.github.io/Logging_0461/klagomål/A 49442-2022 FSC-klagomål.docx", "A 49442-2022")</f>
        <v/>
      </c>
      <c r="W31">
        <f>HYPERLINK("https://klasma.github.io/Logging_0461/klagomålsmail/A 49442-2022 FSC-klagomål mail.docx", "A 49442-2022")</f>
        <v/>
      </c>
      <c r="X31">
        <f>HYPERLINK("https://klasma.github.io/Logging_0461/tillsyn/A 49442-2022 tillsynsbegäran.docx", "A 49442-2022")</f>
        <v/>
      </c>
      <c r="Y31">
        <f>HYPERLINK("https://klasma.github.io/Logging_0461/tillsynsmail/A 49442-2022 tillsynsbegäran mail.docx", "A 49442-2022")</f>
        <v/>
      </c>
    </row>
    <row r="32" ht="15" customHeight="1">
      <c r="A32" t="inlineStr">
        <is>
          <t>A 56791-2022</t>
        </is>
      </c>
      <c r="B32" s="1" t="n">
        <v>44894</v>
      </c>
      <c r="C32" s="1" t="n">
        <v>45351</v>
      </c>
      <c r="D32" t="inlineStr">
        <is>
          <t>SÖDERMANLANDS LÄN</t>
        </is>
      </c>
      <c r="E32" t="inlineStr">
        <is>
          <t>GNESTA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HYPERLINK("https://klasma.github.io/Logging_0461/artfynd/A 56791-2022 artfynd.xlsx", "A 56791-2022")</f>
        <v/>
      </c>
      <c r="T32">
        <f>HYPERLINK("https://klasma.github.io/Logging_0461/kartor/A 56791-2022 karta.png", "A 56791-2022")</f>
        <v/>
      </c>
      <c r="V32">
        <f>HYPERLINK("https://klasma.github.io/Logging_0461/klagomål/A 56791-2022 FSC-klagomål.docx", "A 56791-2022")</f>
        <v/>
      </c>
      <c r="W32">
        <f>HYPERLINK("https://klasma.github.io/Logging_0461/klagomålsmail/A 56791-2022 FSC-klagomål mail.docx", "A 56791-2022")</f>
        <v/>
      </c>
      <c r="X32">
        <f>HYPERLINK("https://klasma.github.io/Logging_0461/tillsyn/A 56791-2022 tillsynsbegäran.docx", "A 56791-2022")</f>
        <v/>
      </c>
      <c r="Y32">
        <f>HYPERLINK("https://klasma.github.io/Logging_0461/tillsynsmail/A 56791-2022 tillsynsbegäran mail.docx", "A 56791-2022")</f>
        <v/>
      </c>
    </row>
    <row r="33" ht="15" customHeight="1">
      <c r="A33" t="inlineStr">
        <is>
          <t>A 61986-2022</t>
        </is>
      </c>
      <c r="B33" s="1" t="n">
        <v>44918</v>
      </c>
      <c r="C33" s="1" t="n">
        <v>45351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7.5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HYPERLINK("https://klasma.github.io/Logging_0461/artfynd/A 61986-2022 artfynd.xlsx", "A 61986-2022")</f>
        <v/>
      </c>
      <c r="T33">
        <f>HYPERLINK("https://klasma.github.io/Logging_0461/kartor/A 61986-2022 karta.png", "A 61986-2022")</f>
        <v/>
      </c>
      <c r="V33">
        <f>HYPERLINK("https://klasma.github.io/Logging_0461/klagomål/A 61986-2022 FSC-klagomål.docx", "A 61986-2022")</f>
        <v/>
      </c>
      <c r="W33">
        <f>HYPERLINK("https://klasma.github.io/Logging_0461/klagomålsmail/A 61986-2022 FSC-klagomål mail.docx", "A 61986-2022")</f>
        <v/>
      </c>
      <c r="X33">
        <f>HYPERLINK("https://klasma.github.io/Logging_0461/tillsyn/A 61986-2022 tillsynsbegäran.docx", "A 61986-2022")</f>
        <v/>
      </c>
      <c r="Y33">
        <f>HYPERLINK("https://klasma.github.io/Logging_0461/tillsynsmail/A 61986-2022 tillsynsbegäran mail.docx", "A 61986-2022")</f>
        <v/>
      </c>
    </row>
    <row r="34" ht="15" customHeight="1">
      <c r="A34" t="inlineStr">
        <is>
          <t>A 62007-2022</t>
        </is>
      </c>
      <c r="B34" s="1" t="n">
        <v>44918</v>
      </c>
      <c r="C34" s="1" t="n">
        <v>45351</v>
      </c>
      <c r="D34" t="inlineStr">
        <is>
          <t>SÖDERMANLANDS LÄN</t>
        </is>
      </c>
      <c r="E34" t="inlineStr">
        <is>
          <t>GNESTA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HYPERLINK("https://klasma.github.io/Logging_0461/artfynd/A 62007-2022 artfynd.xlsx", "A 62007-2022")</f>
        <v/>
      </c>
      <c r="T34">
        <f>HYPERLINK("https://klasma.github.io/Logging_0461/kartor/A 62007-2022 karta.png", "A 62007-2022")</f>
        <v/>
      </c>
      <c r="V34">
        <f>HYPERLINK("https://klasma.github.io/Logging_0461/klagomål/A 62007-2022 FSC-klagomål.docx", "A 62007-2022")</f>
        <v/>
      </c>
      <c r="W34">
        <f>HYPERLINK("https://klasma.github.io/Logging_0461/klagomålsmail/A 62007-2022 FSC-klagomål mail.docx", "A 62007-2022")</f>
        <v/>
      </c>
      <c r="X34">
        <f>HYPERLINK("https://klasma.github.io/Logging_0461/tillsyn/A 62007-2022 tillsynsbegäran.docx", "A 62007-2022")</f>
        <v/>
      </c>
      <c r="Y34">
        <f>HYPERLINK("https://klasma.github.io/Logging_0461/tillsynsmail/A 62007-2022 tillsynsbegäran mail.docx", "A 62007-2022")</f>
        <v/>
      </c>
    </row>
    <row r="35" ht="15" customHeight="1">
      <c r="A35" t="inlineStr">
        <is>
          <t>A 6395-2023</t>
        </is>
      </c>
      <c r="B35" s="1" t="n">
        <v>44965</v>
      </c>
      <c r="C35" s="1" t="n">
        <v>45351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45351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45351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7741-2023</t>
        </is>
      </c>
      <c r="B38" s="1" t="n">
        <v>44973</v>
      </c>
      <c r="C38" s="1" t="n">
        <v>45351</v>
      </c>
      <c r="D38" t="inlineStr">
        <is>
          <t>SÖDERMANLANDS LÄN</t>
        </is>
      </c>
      <c r="E38" t="inlineStr">
        <is>
          <t>GNESTA</t>
        </is>
      </c>
      <c r="G38" t="n">
        <v>3.4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7741-2023 artfynd.xlsx", "A 7741-2023")</f>
        <v/>
      </c>
      <c r="T38">
        <f>HYPERLINK("https://klasma.github.io/Logging_0461/kartor/A 7741-2023 karta.png", "A 7741-2023")</f>
        <v/>
      </c>
      <c r="V38">
        <f>HYPERLINK("https://klasma.github.io/Logging_0461/klagomål/A 7741-2023 FSC-klagomål.docx", "A 7741-2023")</f>
        <v/>
      </c>
      <c r="W38">
        <f>HYPERLINK("https://klasma.github.io/Logging_0461/klagomålsmail/A 7741-2023 FSC-klagomål mail.docx", "A 7741-2023")</f>
        <v/>
      </c>
      <c r="X38">
        <f>HYPERLINK("https://klasma.github.io/Logging_0461/tillsyn/A 7741-2023 tillsynsbegäran.docx", "A 7741-2023")</f>
        <v/>
      </c>
      <c r="Y38">
        <f>HYPERLINK("https://klasma.github.io/Logging_0461/tillsynsmail/A 7741-2023 tillsynsbegäran mail.docx", "A 7741-2023")</f>
        <v/>
      </c>
    </row>
    <row r="39" ht="15" customHeight="1">
      <c r="A39" t="inlineStr">
        <is>
          <t>A 8019-2023</t>
        </is>
      </c>
      <c r="B39" s="1" t="n">
        <v>44973</v>
      </c>
      <c r="C39" s="1" t="n">
        <v>45351</v>
      </c>
      <c r="D39" t="inlineStr">
        <is>
          <t>SÖDERMANLANDS LÄN</t>
        </is>
      </c>
      <c r="E39" t="inlineStr">
        <is>
          <t>GNESTA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Klasefibbla</t>
        </is>
      </c>
      <c r="S39">
        <f>HYPERLINK("https://klasma.github.io/Logging_0461/artfynd/A 8019-2023 artfynd.xlsx", "A 8019-2023")</f>
        <v/>
      </c>
      <c r="T39">
        <f>HYPERLINK("https://klasma.github.io/Logging_0461/kartor/A 8019-2023 karta.png", "A 8019-2023")</f>
        <v/>
      </c>
      <c r="V39">
        <f>HYPERLINK("https://klasma.github.io/Logging_0461/klagomål/A 8019-2023 FSC-klagomål.docx", "A 8019-2023")</f>
        <v/>
      </c>
      <c r="W39">
        <f>HYPERLINK("https://klasma.github.io/Logging_0461/klagomålsmail/A 8019-2023 FSC-klagomål mail.docx", "A 8019-2023")</f>
        <v/>
      </c>
      <c r="X39">
        <f>HYPERLINK("https://klasma.github.io/Logging_0461/tillsyn/A 8019-2023 tillsynsbegäran.docx", "A 8019-2023")</f>
        <v/>
      </c>
      <c r="Y39">
        <f>HYPERLINK("https://klasma.github.io/Logging_0461/tillsynsmail/A 8019-2023 tillsynsbegäran mail.docx", "A 8019-2023")</f>
        <v/>
      </c>
    </row>
    <row r="40" ht="15" customHeight="1">
      <c r="A40" t="inlineStr">
        <is>
          <t>A 9303-2023</t>
        </is>
      </c>
      <c r="B40" s="1" t="n">
        <v>44980</v>
      </c>
      <c r="C40" s="1" t="n">
        <v>45351</v>
      </c>
      <c r="D40" t="inlineStr">
        <is>
          <t>SÖDERMANLANDS LÄN</t>
        </is>
      </c>
      <c r="E40" t="inlineStr">
        <is>
          <t>GNESTA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Zontaggsvamp</t>
        </is>
      </c>
      <c r="S40">
        <f>HYPERLINK("https://klasma.github.io/Logging_0461/artfynd/A 9303-2023 artfynd.xlsx", "A 9303-2023")</f>
        <v/>
      </c>
      <c r="T40">
        <f>HYPERLINK("https://klasma.github.io/Logging_0461/kartor/A 9303-2023 karta.png", "A 9303-2023")</f>
        <v/>
      </c>
      <c r="V40">
        <f>HYPERLINK("https://klasma.github.io/Logging_0461/klagomål/A 9303-2023 FSC-klagomål.docx", "A 9303-2023")</f>
        <v/>
      </c>
      <c r="W40">
        <f>HYPERLINK("https://klasma.github.io/Logging_0461/klagomålsmail/A 9303-2023 FSC-klagomål mail.docx", "A 9303-2023")</f>
        <v/>
      </c>
      <c r="X40">
        <f>HYPERLINK("https://klasma.github.io/Logging_0461/tillsyn/A 9303-2023 tillsynsbegäran.docx", "A 9303-2023")</f>
        <v/>
      </c>
      <c r="Y40">
        <f>HYPERLINK("https://klasma.github.io/Logging_0461/tillsynsmail/A 9303-2023 tillsynsbegäran mail.docx", "A 9303-2023")</f>
        <v/>
      </c>
    </row>
    <row r="41" ht="15" customHeight="1">
      <c r="A41" t="inlineStr">
        <is>
          <t>A 12174-2023</t>
        </is>
      </c>
      <c r="B41" s="1" t="n">
        <v>44995</v>
      </c>
      <c r="C41" s="1" t="n">
        <v>45351</v>
      </c>
      <c r="D41" t="inlineStr">
        <is>
          <t>SÖDERMANLANDS LÄN</t>
        </is>
      </c>
      <c r="E41" t="inlineStr">
        <is>
          <t>GNESTA</t>
        </is>
      </c>
      <c r="G41" t="n">
        <v>11.2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Klasefibbla</t>
        </is>
      </c>
      <c r="S41">
        <f>HYPERLINK("https://klasma.github.io/Logging_0461/artfynd/A 12174-2023 artfynd.xlsx", "A 12174-2023")</f>
        <v/>
      </c>
      <c r="T41">
        <f>HYPERLINK("https://klasma.github.io/Logging_0461/kartor/A 12174-2023 karta.png", "A 12174-2023")</f>
        <v/>
      </c>
      <c r="V41">
        <f>HYPERLINK("https://klasma.github.io/Logging_0461/klagomål/A 12174-2023 FSC-klagomål.docx", "A 12174-2023")</f>
        <v/>
      </c>
      <c r="W41">
        <f>HYPERLINK("https://klasma.github.io/Logging_0461/klagomålsmail/A 12174-2023 FSC-klagomål mail.docx", "A 12174-2023")</f>
        <v/>
      </c>
      <c r="X41">
        <f>HYPERLINK("https://klasma.github.io/Logging_0461/tillsyn/A 12174-2023 tillsynsbegäran.docx", "A 12174-2023")</f>
        <v/>
      </c>
      <c r="Y41">
        <f>HYPERLINK("https://klasma.github.io/Logging_0461/tillsynsmail/A 12174-2023 tillsynsbegäran mail.docx", "A 12174-2023")</f>
        <v/>
      </c>
    </row>
    <row r="42" ht="15" customHeight="1">
      <c r="A42" t="inlineStr">
        <is>
          <t>A 33639-2023</t>
        </is>
      </c>
      <c r="B42" s="1" t="n">
        <v>45119</v>
      </c>
      <c r="C42" s="1" t="n">
        <v>45351</v>
      </c>
      <c r="D42" t="inlineStr">
        <is>
          <t>SÖDERMANLANDS LÄN</t>
        </is>
      </c>
      <c r="E42" t="inlineStr">
        <is>
          <t>GNESTA</t>
        </is>
      </c>
      <c r="G42" t="n">
        <v>6.1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HYPERLINK("https://klasma.github.io/Logging_0461/artfynd/A 33639-2023 artfynd.xlsx", "A 33639-2023")</f>
        <v/>
      </c>
      <c r="T42">
        <f>HYPERLINK("https://klasma.github.io/Logging_0461/kartor/A 33639-2023 karta.png", "A 33639-2023")</f>
        <v/>
      </c>
      <c r="V42">
        <f>HYPERLINK("https://klasma.github.io/Logging_0461/klagomål/A 33639-2023 FSC-klagomål.docx", "A 33639-2023")</f>
        <v/>
      </c>
      <c r="W42">
        <f>HYPERLINK("https://klasma.github.io/Logging_0461/klagomålsmail/A 33639-2023 FSC-klagomål mail.docx", "A 33639-2023")</f>
        <v/>
      </c>
      <c r="X42">
        <f>HYPERLINK("https://klasma.github.io/Logging_0461/tillsyn/A 33639-2023 tillsynsbegäran.docx", "A 33639-2023")</f>
        <v/>
      </c>
      <c r="Y42">
        <f>HYPERLINK("https://klasma.github.io/Logging_0461/tillsynsmail/A 33639-2023 tillsynsbegäran mail.docx", "A 33639-2023")</f>
        <v/>
      </c>
    </row>
    <row r="43" ht="15" customHeight="1">
      <c r="A43" t="inlineStr">
        <is>
          <t>A 40267-2023</t>
        </is>
      </c>
      <c r="B43" s="1" t="n">
        <v>45169</v>
      </c>
      <c r="C43" s="1" t="n">
        <v>45351</v>
      </c>
      <c r="D43" t="inlineStr">
        <is>
          <t>SÖDERMANLANDS LÄN</t>
        </is>
      </c>
      <c r="E43" t="inlineStr">
        <is>
          <t>GNESTA</t>
        </is>
      </c>
      <c r="F43" t="inlineStr">
        <is>
          <t>Holmen skog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HYPERLINK("https://klasma.github.io/Logging_0461/artfynd/A 40267-2023 artfynd.xlsx", "A 40267-2023")</f>
        <v/>
      </c>
      <c r="T43">
        <f>HYPERLINK("https://klasma.github.io/Logging_0461/kartor/A 40267-2023 karta.png", "A 40267-2023")</f>
        <v/>
      </c>
      <c r="V43">
        <f>HYPERLINK("https://klasma.github.io/Logging_0461/klagomål/A 40267-2023 FSC-klagomål.docx", "A 40267-2023")</f>
        <v/>
      </c>
      <c r="W43">
        <f>HYPERLINK("https://klasma.github.io/Logging_0461/klagomålsmail/A 40267-2023 FSC-klagomål mail.docx", "A 40267-2023")</f>
        <v/>
      </c>
      <c r="X43">
        <f>HYPERLINK("https://klasma.github.io/Logging_0461/tillsyn/A 40267-2023 tillsynsbegäran.docx", "A 40267-2023")</f>
        <v/>
      </c>
      <c r="Y43">
        <f>HYPERLINK("https://klasma.github.io/Logging_0461/tillsynsmail/A 40267-2023 tillsynsbegäran mail.docx", "A 40267-2023")</f>
        <v/>
      </c>
    </row>
    <row r="44" ht="15" customHeight="1">
      <c r="A44" t="inlineStr">
        <is>
          <t>A 42552-2023</t>
        </is>
      </c>
      <c r="B44" s="1" t="n">
        <v>45181</v>
      </c>
      <c r="C44" s="1" t="n">
        <v>45351</v>
      </c>
      <c r="D44" t="inlineStr">
        <is>
          <t>SÖDERMANLANDS LÄN</t>
        </is>
      </c>
      <c r="E44" t="inlineStr">
        <is>
          <t>GNESTA</t>
        </is>
      </c>
      <c r="F44" t="inlineStr">
        <is>
          <t>Holmen skog AB</t>
        </is>
      </c>
      <c r="G44" t="n">
        <v>3.6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HYPERLINK("https://klasma.github.io/Logging_0461/artfynd/A 42552-2023 artfynd.xlsx", "A 42552-2023")</f>
        <v/>
      </c>
      <c r="T44">
        <f>HYPERLINK("https://klasma.github.io/Logging_0461/kartor/A 42552-2023 karta.png", "A 42552-2023")</f>
        <v/>
      </c>
      <c r="V44">
        <f>HYPERLINK("https://klasma.github.io/Logging_0461/klagomål/A 42552-2023 FSC-klagomål.docx", "A 42552-2023")</f>
        <v/>
      </c>
      <c r="W44">
        <f>HYPERLINK("https://klasma.github.io/Logging_0461/klagomålsmail/A 42552-2023 FSC-klagomål mail.docx", "A 42552-2023")</f>
        <v/>
      </c>
      <c r="X44">
        <f>HYPERLINK("https://klasma.github.io/Logging_0461/tillsyn/A 42552-2023 tillsynsbegäran.docx", "A 42552-2023")</f>
        <v/>
      </c>
      <c r="Y44">
        <f>HYPERLINK("https://klasma.github.io/Logging_0461/tillsynsmail/A 42552-2023 tillsynsbegäran mail.docx", "A 42552-2023")</f>
        <v/>
      </c>
    </row>
    <row r="45" ht="15" customHeight="1">
      <c r="A45" t="inlineStr">
        <is>
          <t>A 62737-2023</t>
        </is>
      </c>
      <c r="B45" s="1" t="n">
        <v>45271</v>
      </c>
      <c r="C45" s="1" t="n">
        <v>45351</v>
      </c>
      <c r="D45" t="inlineStr">
        <is>
          <t>SÖDERMANLANDS LÄN</t>
        </is>
      </c>
      <c r="E45" t="inlineStr">
        <is>
          <t>GNESTA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HYPERLINK("https://klasma.github.io/Logging_0461/artfynd/A 62737-2023 artfynd.xlsx", "A 62737-2023")</f>
        <v/>
      </c>
      <c r="T45">
        <f>HYPERLINK("https://klasma.github.io/Logging_0461/kartor/A 62737-2023 karta.png", "A 62737-2023")</f>
        <v/>
      </c>
      <c r="V45">
        <f>HYPERLINK("https://klasma.github.io/Logging_0461/klagomål/A 62737-2023 FSC-klagomål.docx", "A 62737-2023")</f>
        <v/>
      </c>
      <c r="W45">
        <f>HYPERLINK("https://klasma.github.io/Logging_0461/klagomålsmail/A 62737-2023 FSC-klagomål mail.docx", "A 62737-2023")</f>
        <v/>
      </c>
      <c r="X45">
        <f>HYPERLINK("https://klasma.github.io/Logging_0461/tillsyn/A 62737-2023 tillsynsbegäran.docx", "A 62737-2023")</f>
        <v/>
      </c>
      <c r="Y45">
        <f>HYPERLINK("https://klasma.github.io/Logging_0461/tillsynsmail/A 62737-2023 tillsynsbegäran mail.docx", "A 62737-2023")</f>
        <v/>
      </c>
    </row>
    <row r="46" ht="15" customHeight="1">
      <c r="A46" t="inlineStr">
        <is>
          <t>A 1712-2024</t>
        </is>
      </c>
      <c r="B46" s="1" t="n">
        <v>45307</v>
      </c>
      <c r="C46" s="1" t="n">
        <v>45351</v>
      </c>
      <c r="D46" t="inlineStr">
        <is>
          <t>SÖDERMANLANDS LÄN</t>
        </is>
      </c>
      <c r="E46" t="inlineStr">
        <is>
          <t>GNESTA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1712-2024 artfynd.xlsx", "A 1712-2024")</f>
        <v/>
      </c>
      <c r="T46">
        <f>HYPERLINK("https://klasma.github.io/Logging_0461/kartor/A 1712-2024 karta.png", "A 1712-2024")</f>
        <v/>
      </c>
      <c r="V46">
        <f>HYPERLINK("https://klasma.github.io/Logging_0461/klagomål/A 1712-2024 FSC-klagomål.docx", "A 1712-2024")</f>
        <v/>
      </c>
      <c r="W46">
        <f>HYPERLINK("https://klasma.github.io/Logging_0461/klagomålsmail/A 1712-2024 FSC-klagomål mail.docx", "A 1712-2024")</f>
        <v/>
      </c>
      <c r="X46">
        <f>HYPERLINK("https://klasma.github.io/Logging_0461/tillsyn/A 1712-2024 tillsynsbegäran.docx", "A 1712-2024")</f>
        <v/>
      </c>
      <c r="Y46">
        <f>HYPERLINK("https://klasma.github.io/Logging_0461/tillsynsmail/A 1712-2024 tillsynsbegäran mail.docx", "A 1712-2024")</f>
        <v/>
      </c>
    </row>
    <row r="47" ht="15" customHeight="1">
      <c r="A47" t="inlineStr">
        <is>
          <t>A 6539-2024</t>
        </is>
      </c>
      <c r="B47" s="1" t="n">
        <v>45341</v>
      </c>
      <c r="C47" s="1" t="n">
        <v>45351</v>
      </c>
      <c r="D47" t="inlineStr">
        <is>
          <t>SÖDERMANLANDS LÄN</t>
        </is>
      </c>
      <c r="E47" t="inlineStr">
        <is>
          <t>GNESTA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HYPERLINK("https://klasma.github.io/Logging_0461/artfynd/A 6539-2024 artfynd.xlsx", "A 6539-2024")</f>
        <v/>
      </c>
      <c r="T47">
        <f>HYPERLINK("https://klasma.github.io/Logging_0461/kartor/A 6539-2024 karta.png", "A 6539-2024")</f>
        <v/>
      </c>
      <c r="V47">
        <f>HYPERLINK("https://klasma.github.io/Logging_0461/klagomål/A 6539-2024 FSC-klagomål.docx", "A 6539-2024")</f>
        <v/>
      </c>
      <c r="W47">
        <f>HYPERLINK("https://klasma.github.io/Logging_0461/klagomålsmail/A 6539-2024 FSC-klagomål mail.docx", "A 6539-2024")</f>
        <v/>
      </c>
      <c r="X47">
        <f>HYPERLINK("https://klasma.github.io/Logging_0461/tillsyn/A 6539-2024 tillsynsbegäran.docx", "A 6539-2024")</f>
        <v/>
      </c>
      <c r="Y47">
        <f>HYPERLINK("https://klasma.github.io/Logging_0461/tillsynsmail/A 6539-2024 tillsynsbegäran mail.docx", "A 6539-2024")</f>
        <v/>
      </c>
    </row>
    <row r="48" ht="15" customHeight="1">
      <c r="A48" t="inlineStr">
        <is>
          <t>A 38068-2018</t>
        </is>
      </c>
      <c r="B48" s="1" t="n">
        <v>43336</v>
      </c>
      <c r="C48" s="1" t="n">
        <v>45351</v>
      </c>
      <c r="D48" t="inlineStr">
        <is>
          <t>SÖDERMANLANDS LÄN</t>
        </is>
      </c>
      <c r="E48" t="inlineStr">
        <is>
          <t>GNESTA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46046-2018</t>
        </is>
      </c>
      <c r="B49" s="1" t="n">
        <v>43365</v>
      </c>
      <c r="C49" s="1" t="n">
        <v>45351</v>
      </c>
      <c r="D49" t="inlineStr">
        <is>
          <t>SÖDERMANLANDS LÄN</t>
        </is>
      </c>
      <c r="E49" t="inlineStr">
        <is>
          <t>GNESTA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52082-2018</t>
        </is>
      </c>
      <c r="B50" s="1" t="n">
        <v>43385</v>
      </c>
      <c r="C50" s="1" t="n">
        <v>45351</v>
      </c>
      <c r="D50" t="inlineStr">
        <is>
          <t>SÖDERMANLANDS LÄN</t>
        </is>
      </c>
      <c r="E50" t="inlineStr">
        <is>
          <t>GNESTA</t>
        </is>
      </c>
      <c r="F50" t="inlineStr">
        <is>
          <t>Holmen skog AB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52098-2018</t>
        </is>
      </c>
      <c r="B51" s="1" t="n">
        <v>43385</v>
      </c>
      <c r="C51" s="1" t="n">
        <v>45351</v>
      </c>
      <c r="D51" t="inlineStr">
        <is>
          <t>SÖDERMANLANDS LÄN</t>
        </is>
      </c>
      <c r="E51" t="inlineStr">
        <is>
          <t>GNESTA</t>
        </is>
      </c>
      <c r="F51" t="inlineStr">
        <is>
          <t>Holmen skog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60402-2018</t>
        </is>
      </c>
      <c r="B52" s="1" t="n">
        <v>43405</v>
      </c>
      <c r="C52" s="1" t="n">
        <v>45351</v>
      </c>
      <c r="D52" t="inlineStr">
        <is>
          <t>SÖDERMANLANDS LÄN</t>
        </is>
      </c>
      <c r="E52" t="inlineStr">
        <is>
          <t>GNESTA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60312-2018</t>
        </is>
      </c>
      <c r="B53" s="1" t="n">
        <v>43406</v>
      </c>
      <c r="C53" s="1" t="n">
        <v>45351</v>
      </c>
      <c r="D53" t="inlineStr">
        <is>
          <t>SÖDERMANLANDS LÄN</t>
        </is>
      </c>
      <c r="E53" t="inlineStr">
        <is>
          <t>GNESTA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67055-2018</t>
        </is>
      </c>
      <c r="B54" s="1" t="n">
        <v>43438</v>
      </c>
      <c r="C54" s="1" t="n">
        <v>45351</v>
      </c>
      <c r="D54" t="inlineStr">
        <is>
          <t>SÖDERMANLANDS LÄN</t>
        </is>
      </c>
      <c r="E54" t="inlineStr">
        <is>
          <t>GNESTA</t>
        </is>
      </c>
      <c r="F54" t="inlineStr">
        <is>
          <t>Övriga Aktiebolag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67075-2018</t>
        </is>
      </c>
      <c r="B55" s="1" t="n">
        <v>43438</v>
      </c>
      <c r="C55" s="1" t="n">
        <v>45351</v>
      </c>
      <c r="D55" t="inlineStr">
        <is>
          <t>SÖDERMANLANDS LÄN</t>
        </is>
      </c>
      <c r="E55" t="inlineStr">
        <is>
          <t>GNESTA</t>
        </is>
      </c>
      <c r="F55" t="inlineStr">
        <is>
          <t>Övriga Aktiebolag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979-2019</t>
        </is>
      </c>
      <c r="B56" s="1" t="n">
        <v>43472</v>
      </c>
      <c r="C56" s="1" t="n">
        <v>45351</v>
      </c>
      <c r="D56" t="inlineStr">
        <is>
          <t>SÖDERMANLANDS LÄN</t>
        </is>
      </c>
      <c r="E56" t="inlineStr">
        <is>
          <t>GNESTA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1090-2019</t>
        </is>
      </c>
      <c r="B57" s="1" t="n">
        <v>43472</v>
      </c>
      <c r="C57" s="1" t="n">
        <v>45351</v>
      </c>
      <c r="D57" t="inlineStr">
        <is>
          <t>SÖDERMANLANDS LÄN</t>
        </is>
      </c>
      <c r="E57" t="inlineStr">
        <is>
          <t>GNESTA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6165-2019</t>
        </is>
      </c>
      <c r="B58" s="1" t="n">
        <v>43486</v>
      </c>
      <c r="C58" s="1" t="n">
        <v>45351</v>
      </c>
      <c r="D58" t="inlineStr">
        <is>
          <t>SÖDERMANLANDS LÄN</t>
        </is>
      </c>
      <c r="E58" t="inlineStr">
        <is>
          <t>GNESTA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7620-2019</t>
        </is>
      </c>
      <c r="B59" s="1" t="n">
        <v>43493</v>
      </c>
      <c r="C59" s="1" t="n">
        <v>45351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11895-2019</t>
        </is>
      </c>
      <c r="B60" s="1" t="n">
        <v>43521</v>
      </c>
      <c r="C60" s="1" t="n">
        <v>45351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14862-2019</t>
        </is>
      </c>
      <c r="B61" s="1" t="n">
        <v>43539</v>
      </c>
      <c r="C61" s="1" t="n">
        <v>45351</v>
      </c>
      <c r="D61" t="inlineStr">
        <is>
          <t>SÖDERMANLANDS LÄN</t>
        </is>
      </c>
      <c r="E61" t="inlineStr">
        <is>
          <t>GNESTA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14948-2019</t>
        </is>
      </c>
      <c r="B62" s="1" t="n">
        <v>43539</v>
      </c>
      <c r="C62" s="1" t="n">
        <v>45351</v>
      </c>
      <c r="D62" t="inlineStr">
        <is>
          <t>SÖDERMANLANDS LÄN</t>
        </is>
      </c>
      <c r="E62" t="inlineStr">
        <is>
          <t>GNESTA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15198-2019</t>
        </is>
      </c>
      <c r="B63" s="1" t="n">
        <v>43539</v>
      </c>
      <c r="C63" s="1" t="n">
        <v>45351</v>
      </c>
      <c r="D63" t="inlineStr">
        <is>
          <t>SÖDERMANLANDS LÄN</t>
        </is>
      </c>
      <c r="E63" t="inlineStr">
        <is>
          <t>GNESTA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15041-2019</t>
        </is>
      </c>
      <c r="B64" s="1" t="n">
        <v>43539</v>
      </c>
      <c r="C64" s="1" t="n">
        <v>45351</v>
      </c>
      <c r="D64" t="inlineStr">
        <is>
          <t>SÖDERMANLANDS LÄN</t>
        </is>
      </c>
      <c r="E64" t="inlineStr">
        <is>
          <t>GNESTA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14803-2019</t>
        </is>
      </c>
      <c r="B65" s="1" t="n">
        <v>43539</v>
      </c>
      <c r="C65" s="1" t="n">
        <v>45351</v>
      </c>
      <c r="D65" t="inlineStr">
        <is>
          <t>SÖDERMANLANDS LÄN</t>
        </is>
      </c>
      <c r="E65" t="inlineStr">
        <is>
          <t>GNESTA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18002-2019</t>
        </is>
      </c>
      <c r="B66" s="1" t="n">
        <v>43556</v>
      </c>
      <c r="C66" s="1" t="n">
        <v>45351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45351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45351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45351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45351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45351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45351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45351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45351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45351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45351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45351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45351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45351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45351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45351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45351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45351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45351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45351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45351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45351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45351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45351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45351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45351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45351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45351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45351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45351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45351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45351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45351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45351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45351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45351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45351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45351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45351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45351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45351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45351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45351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45351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45351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45351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45351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45351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45351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45351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45351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45351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45351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45351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45351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45351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45351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45351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45351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45351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45351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45351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45351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45351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45351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45351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45351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45351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45351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45351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45351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45351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45351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45351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45351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45351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45351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45351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45351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45351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45351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45351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45351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45351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45351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45351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45351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45351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45351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45351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45351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45351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45351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45351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45351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45351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45351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45351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45351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45351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45351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45351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45351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45351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45351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45351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45351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45351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45351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45351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45351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45351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45351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45351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45351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45351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45351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22712-2021</t>
        </is>
      </c>
      <c r="B183" s="1" t="n">
        <v>44327</v>
      </c>
      <c r="C183" s="1" t="n">
        <v>45351</v>
      </c>
      <c r="D183" t="inlineStr">
        <is>
          <t>SÖDERMANLANDS LÄN</t>
        </is>
      </c>
      <c r="E183" t="inlineStr">
        <is>
          <t>GNESTA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22906-2021</t>
        </is>
      </c>
      <c r="B184" s="1" t="n">
        <v>44328</v>
      </c>
      <c r="C184" s="1" t="n">
        <v>45351</v>
      </c>
      <c r="D184" t="inlineStr">
        <is>
          <t>SÖDERMANLANDS LÄN</t>
        </is>
      </c>
      <c r="E184" t="inlineStr">
        <is>
          <t>GNESTA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23600-2021</t>
        </is>
      </c>
      <c r="B185" s="1" t="n">
        <v>44334</v>
      </c>
      <c r="C185" s="1" t="n">
        <v>45351</v>
      </c>
      <c r="D185" t="inlineStr">
        <is>
          <t>SÖDERMANLANDS LÄN</t>
        </is>
      </c>
      <c r="E185" t="inlineStr">
        <is>
          <t>GNESTA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25179-2021</t>
        </is>
      </c>
      <c r="B186" s="1" t="n">
        <v>44342</v>
      </c>
      <c r="C186" s="1" t="n">
        <v>45351</v>
      </c>
      <c r="D186" t="inlineStr">
        <is>
          <t>SÖDERMANLANDS LÄN</t>
        </is>
      </c>
      <c r="E186" t="inlineStr">
        <is>
          <t>GNESTA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26307-2021</t>
        </is>
      </c>
      <c r="B187" s="1" t="n">
        <v>44347</v>
      </c>
      <c r="C187" s="1" t="n">
        <v>45351</v>
      </c>
      <c r="D187" t="inlineStr">
        <is>
          <t>SÖDERMANLANDS LÄN</t>
        </is>
      </c>
      <c r="E187" t="inlineStr">
        <is>
          <t>GNESTA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27206-2021</t>
        </is>
      </c>
      <c r="B188" s="1" t="n">
        <v>44350</v>
      </c>
      <c r="C188" s="1" t="n">
        <v>45351</v>
      </c>
      <c r="D188" t="inlineStr">
        <is>
          <t>SÖDERMANLANDS LÄN</t>
        </is>
      </c>
      <c r="E188" t="inlineStr">
        <is>
          <t>GNESTA</t>
        </is>
      </c>
      <c r="G188" t="n">
        <v>21.4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36621-2021</t>
        </is>
      </c>
      <c r="B189" s="1" t="n">
        <v>44391</v>
      </c>
      <c r="C189" s="1" t="n">
        <v>45351</v>
      </c>
      <c r="D189" t="inlineStr">
        <is>
          <t>SÖDERMANLANDS LÄN</t>
        </is>
      </c>
      <c r="E189" t="inlineStr">
        <is>
          <t>GNESTA</t>
        </is>
      </c>
      <c r="G189" t="n">
        <v>10.5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37282-2021</t>
        </is>
      </c>
      <c r="B190" s="1" t="n">
        <v>44397</v>
      </c>
      <c r="C190" s="1" t="n">
        <v>45351</v>
      </c>
      <c r="D190" t="inlineStr">
        <is>
          <t>SÖDERMANLANDS LÄN</t>
        </is>
      </c>
      <c r="E190" t="inlineStr">
        <is>
          <t>GNESTA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39018-2021</t>
        </is>
      </c>
      <c r="B191" s="1" t="n">
        <v>44412</v>
      </c>
      <c r="C191" s="1" t="n">
        <v>45351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39456-2021</t>
        </is>
      </c>
      <c r="B192" s="1" t="n">
        <v>44414</v>
      </c>
      <c r="C192" s="1" t="n">
        <v>45351</v>
      </c>
      <c r="D192" t="inlineStr">
        <is>
          <t>SÖDERMANLANDS LÄN</t>
        </is>
      </c>
      <c r="E192" t="inlineStr">
        <is>
          <t>GNESTA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39461-2021</t>
        </is>
      </c>
      <c r="B193" s="1" t="n">
        <v>44414</v>
      </c>
      <c r="C193" s="1" t="n">
        <v>45351</v>
      </c>
      <c r="D193" t="inlineStr">
        <is>
          <t>SÖDERMANLANDS LÄN</t>
        </is>
      </c>
      <c r="E193" t="inlineStr">
        <is>
          <t>GNESTA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40395-2021</t>
        </is>
      </c>
      <c r="B194" s="1" t="n">
        <v>44419</v>
      </c>
      <c r="C194" s="1" t="n">
        <v>45351</v>
      </c>
      <c r="D194" t="inlineStr">
        <is>
          <t>SÖDERMANLANDS LÄN</t>
        </is>
      </c>
      <c r="E194" t="inlineStr">
        <is>
          <t>GNESTA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41104-2021</t>
        </is>
      </c>
      <c r="B195" s="1" t="n">
        <v>44423</v>
      </c>
      <c r="C195" s="1" t="n">
        <v>45351</v>
      </c>
      <c r="D195" t="inlineStr">
        <is>
          <t>SÖDERMANLANDS LÄN</t>
        </is>
      </c>
      <c r="E195" t="inlineStr">
        <is>
          <t>GNESTA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41103-2021</t>
        </is>
      </c>
      <c r="B196" s="1" t="n">
        <v>44423</v>
      </c>
      <c r="C196" s="1" t="n">
        <v>45351</v>
      </c>
      <c r="D196" t="inlineStr">
        <is>
          <t>SÖDERMANLANDS LÄN</t>
        </is>
      </c>
      <c r="E196" t="inlineStr">
        <is>
          <t>GNESTA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41600-2021</t>
        </is>
      </c>
      <c r="B197" s="1" t="n">
        <v>44425</v>
      </c>
      <c r="C197" s="1" t="n">
        <v>45351</v>
      </c>
      <c r="D197" t="inlineStr">
        <is>
          <t>SÖDERMANLANDS LÄN</t>
        </is>
      </c>
      <c r="E197" t="inlineStr">
        <is>
          <t>GNESTA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41728-2021</t>
        </is>
      </c>
      <c r="B198" s="1" t="n">
        <v>44425</v>
      </c>
      <c r="C198" s="1" t="n">
        <v>45351</v>
      </c>
      <c r="D198" t="inlineStr">
        <is>
          <t>SÖDERMANLANDS LÄN</t>
        </is>
      </c>
      <c r="E198" t="inlineStr">
        <is>
          <t>GNESTA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41745-2021</t>
        </is>
      </c>
      <c r="B199" s="1" t="n">
        <v>44425</v>
      </c>
      <c r="C199" s="1" t="n">
        <v>45351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41968-2021</t>
        </is>
      </c>
      <c r="B200" s="1" t="n">
        <v>44425</v>
      </c>
      <c r="C200" s="1" t="n">
        <v>45351</v>
      </c>
      <c r="D200" t="inlineStr">
        <is>
          <t>SÖDERMANLANDS LÄN</t>
        </is>
      </c>
      <c r="E200" t="inlineStr">
        <is>
          <t>GNESTA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41955-2021</t>
        </is>
      </c>
      <c r="B201" s="1" t="n">
        <v>44426</v>
      </c>
      <c r="C201" s="1" t="n">
        <v>45351</v>
      </c>
      <c r="D201" t="inlineStr">
        <is>
          <t>SÖDERMANLANDS LÄN</t>
        </is>
      </c>
      <c r="E201" t="inlineStr">
        <is>
          <t>GNESTA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41914-2021</t>
        </is>
      </c>
      <c r="B202" s="1" t="n">
        <v>44426</v>
      </c>
      <c r="C202" s="1" t="n">
        <v>45351</v>
      </c>
      <c r="D202" t="inlineStr">
        <is>
          <t>SÖDERMANLANDS LÄN</t>
        </is>
      </c>
      <c r="E202" t="inlineStr">
        <is>
          <t>GNESTA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42428-2021</t>
        </is>
      </c>
      <c r="B203" s="1" t="n">
        <v>44427</v>
      </c>
      <c r="C203" s="1" t="n">
        <v>45351</v>
      </c>
      <c r="D203" t="inlineStr">
        <is>
          <t>SÖDERMANLANDS LÄN</t>
        </is>
      </c>
      <c r="E203" t="inlineStr">
        <is>
          <t>GNESTA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43035-2021</t>
        </is>
      </c>
      <c r="B204" s="1" t="n">
        <v>44431</v>
      </c>
      <c r="C204" s="1" t="n">
        <v>45351</v>
      </c>
      <c r="D204" t="inlineStr">
        <is>
          <t>SÖDERMANLANDS LÄN</t>
        </is>
      </c>
      <c r="E204" t="inlineStr">
        <is>
          <t>GNESTA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43178-2021</t>
        </is>
      </c>
      <c r="B205" s="1" t="n">
        <v>44431</v>
      </c>
      <c r="C205" s="1" t="n">
        <v>45351</v>
      </c>
      <c r="D205" t="inlineStr">
        <is>
          <t>SÖDERMANLANDS LÄN</t>
        </is>
      </c>
      <c r="E205" t="inlineStr">
        <is>
          <t>GNESTA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44943-2021</t>
        </is>
      </c>
      <c r="B206" s="1" t="n">
        <v>44438</v>
      </c>
      <c r="C206" s="1" t="n">
        <v>45351</v>
      </c>
      <c r="D206" t="inlineStr">
        <is>
          <t>SÖDERMANLANDS LÄN</t>
        </is>
      </c>
      <c r="E206" t="inlineStr">
        <is>
          <t>GNESTA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46079-2021</t>
        </is>
      </c>
      <c r="B207" s="1" t="n">
        <v>44442</v>
      </c>
      <c r="C207" s="1" t="n">
        <v>45351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46085-2021</t>
        </is>
      </c>
      <c r="B208" s="1" t="n">
        <v>44442</v>
      </c>
      <c r="C208" s="1" t="n">
        <v>45351</v>
      </c>
      <c r="D208" t="inlineStr">
        <is>
          <t>SÖDERMANLANDS LÄN</t>
        </is>
      </c>
      <c r="E208" t="inlineStr">
        <is>
          <t>GNESTA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47314-2021</t>
        </is>
      </c>
      <c r="B209" s="1" t="n">
        <v>44447</v>
      </c>
      <c r="C209" s="1" t="n">
        <v>45351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48437-2021</t>
        </is>
      </c>
      <c r="B210" s="1" t="n">
        <v>44452</v>
      </c>
      <c r="C210" s="1" t="n">
        <v>45351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48738-2021</t>
        </is>
      </c>
      <c r="B211" s="1" t="n">
        <v>44452</v>
      </c>
      <c r="C211" s="1" t="n">
        <v>45351</v>
      </c>
      <c r="D211" t="inlineStr">
        <is>
          <t>SÖDERMANLANDS LÄN</t>
        </is>
      </c>
      <c r="E211" t="inlineStr">
        <is>
          <t>GNESTA</t>
        </is>
      </c>
      <c r="F211" t="inlineStr">
        <is>
          <t>Kyrkan</t>
        </is>
      </c>
      <c r="G211" t="n">
        <v>11.3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49885-2021</t>
        </is>
      </c>
      <c r="B212" s="1" t="n">
        <v>44455</v>
      </c>
      <c r="C212" s="1" t="n">
        <v>45351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51339-2021</t>
        </is>
      </c>
      <c r="B213" s="1" t="n">
        <v>44461</v>
      </c>
      <c r="C213" s="1" t="n">
        <v>45351</v>
      </c>
      <c r="D213" t="inlineStr">
        <is>
          <t>SÖDERMANLANDS LÄN</t>
        </is>
      </c>
      <c r="E213" t="inlineStr">
        <is>
          <t>GNESTA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53049-2021</t>
        </is>
      </c>
      <c r="B214" s="1" t="n">
        <v>44467</v>
      </c>
      <c r="C214" s="1" t="n">
        <v>45351</v>
      </c>
      <c r="D214" t="inlineStr">
        <is>
          <t>SÖDERMANLANDS LÄN</t>
        </is>
      </c>
      <c r="E214" t="inlineStr">
        <is>
          <t>GNESTA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53492-2021</t>
        </is>
      </c>
      <c r="B215" s="1" t="n">
        <v>44468</v>
      </c>
      <c r="C215" s="1" t="n">
        <v>45351</v>
      </c>
      <c r="D215" t="inlineStr">
        <is>
          <t>SÖDERMANLANDS LÄN</t>
        </is>
      </c>
      <c r="E215" t="inlineStr">
        <is>
          <t>GNESTA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54702-2021</t>
        </is>
      </c>
      <c r="B216" s="1" t="n">
        <v>44473</v>
      </c>
      <c r="C216" s="1" t="n">
        <v>45351</v>
      </c>
      <c r="D216" t="inlineStr">
        <is>
          <t>SÖDERMANLANDS LÄN</t>
        </is>
      </c>
      <c r="E216" t="inlineStr">
        <is>
          <t>GNESTA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55632-2021</t>
        </is>
      </c>
      <c r="B217" s="1" t="n">
        <v>44475</v>
      </c>
      <c r="C217" s="1" t="n">
        <v>45351</v>
      </c>
      <c r="D217" t="inlineStr">
        <is>
          <t>SÖDERMANLANDS LÄN</t>
        </is>
      </c>
      <c r="E217" t="inlineStr">
        <is>
          <t>GNESTA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56505-2021</t>
        </is>
      </c>
      <c r="B218" s="1" t="n">
        <v>44480</v>
      </c>
      <c r="C218" s="1" t="n">
        <v>45351</v>
      </c>
      <c r="D218" t="inlineStr">
        <is>
          <t>SÖDERMANLANDS LÄN</t>
        </is>
      </c>
      <c r="E218" t="inlineStr">
        <is>
          <t>GNESTA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56824-2021</t>
        </is>
      </c>
      <c r="B219" s="1" t="n">
        <v>44481</v>
      </c>
      <c r="C219" s="1" t="n">
        <v>45351</v>
      </c>
      <c r="D219" t="inlineStr">
        <is>
          <t>SÖDERMANLANDS LÄN</t>
        </is>
      </c>
      <c r="E219" t="inlineStr">
        <is>
          <t>GNESTA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56815-2021</t>
        </is>
      </c>
      <c r="B220" s="1" t="n">
        <v>44481</v>
      </c>
      <c r="C220" s="1" t="n">
        <v>45351</v>
      </c>
      <c r="D220" t="inlineStr">
        <is>
          <t>SÖDERMANLANDS LÄN</t>
        </is>
      </c>
      <c r="E220" t="inlineStr">
        <is>
          <t>GNESTA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56927-2021</t>
        </is>
      </c>
      <c r="B221" s="1" t="n">
        <v>44481</v>
      </c>
      <c r="C221" s="1" t="n">
        <v>45351</v>
      </c>
      <c r="D221" t="inlineStr">
        <is>
          <t>SÖDERMANLANDS LÄN</t>
        </is>
      </c>
      <c r="E221" t="inlineStr">
        <is>
          <t>GNESTA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56976-2021</t>
        </is>
      </c>
      <c r="B222" s="1" t="n">
        <v>44481</v>
      </c>
      <c r="C222" s="1" t="n">
        <v>45351</v>
      </c>
      <c r="D222" t="inlineStr">
        <is>
          <t>SÖDERMANLANDS LÄN</t>
        </is>
      </c>
      <c r="E222" t="inlineStr">
        <is>
          <t>GNESTA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57139-2021</t>
        </is>
      </c>
      <c r="B223" s="1" t="n">
        <v>44482</v>
      </c>
      <c r="C223" s="1" t="n">
        <v>45351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57601-2021</t>
        </is>
      </c>
      <c r="B224" s="1" t="n">
        <v>44484</v>
      </c>
      <c r="C224" s="1" t="n">
        <v>45351</v>
      </c>
      <c r="D224" t="inlineStr">
        <is>
          <t>SÖDERMANLANDS LÄN</t>
        </is>
      </c>
      <c r="E224" t="inlineStr">
        <is>
          <t>GNESTA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57612-2021</t>
        </is>
      </c>
      <c r="B225" s="1" t="n">
        <v>44484</v>
      </c>
      <c r="C225" s="1" t="n">
        <v>45351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57882-2021</t>
        </is>
      </c>
      <c r="B226" s="1" t="n">
        <v>44485</v>
      </c>
      <c r="C226" s="1" t="n">
        <v>45351</v>
      </c>
      <c r="D226" t="inlineStr">
        <is>
          <t>SÖDERMANLANDS LÄN</t>
        </is>
      </c>
      <c r="E226" t="inlineStr">
        <is>
          <t>GNESTA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59287-2021</t>
        </is>
      </c>
      <c r="B227" s="1" t="n">
        <v>44490</v>
      </c>
      <c r="C227" s="1" t="n">
        <v>45351</v>
      </c>
      <c r="D227" t="inlineStr">
        <is>
          <t>SÖDERMANLANDS LÄN</t>
        </is>
      </c>
      <c r="E227" t="inlineStr">
        <is>
          <t>GNESTA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59385-2021</t>
        </is>
      </c>
      <c r="B228" s="1" t="n">
        <v>44491</v>
      </c>
      <c r="C228" s="1" t="n">
        <v>45351</v>
      </c>
      <c r="D228" t="inlineStr">
        <is>
          <t>SÖDERMANLANDS LÄN</t>
        </is>
      </c>
      <c r="E228" t="inlineStr">
        <is>
          <t>GNESTA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59616-2021</t>
        </is>
      </c>
      <c r="B229" s="1" t="n">
        <v>44491</v>
      </c>
      <c r="C229" s="1" t="n">
        <v>45351</v>
      </c>
      <c r="D229" t="inlineStr">
        <is>
          <t>SÖDERMANLANDS LÄN</t>
        </is>
      </c>
      <c r="E229" t="inlineStr">
        <is>
          <t>GNESTA</t>
        </is>
      </c>
      <c r="F229" t="inlineStr">
        <is>
          <t>Kyrkan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59619-2021</t>
        </is>
      </c>
      <c r="B230" s="1" t="n">
        <v>44491</v>
      </c>
      <c r="C230" s="1" t="n">
        <v>45351</v>
      </c>
      <c r="D230" t="inlineStr">
        <is>
          <t>SÖDERMANLANDS LÄN</t>
        </is>
      </c>
      <c r="E230" t="inlineStr">
        <is>
          <t>GNESTA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60919-2021</t>
        </is>
      </c>
      <c r="B231" s="1" t="n">
        <v>44497</v>
      </c>
      <c r="C231" s="1" t="n">
        <v>45351</v>
      </c>
      <c r="D231" t="inlineStr">
        <is>
          <t>SÖDERMANLANDS LÄN</t>
        </is>
      </c>
      <c r="E231" t="inlineStr">
        <is>
          <t>GNESTA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67479-2021</t>
        </is>
      </c>
      <c r="B232" s="1" t="n">
        <v>44524</v>
      </c>
      <c r="C232" s="1" t="n">
        <v>45351</v>
      </c>
      <c r="D232" t="inlineStr">
        <is>
          <t>SÖDERMANLANDS LÄN</t>
        </is>
      </c>
      <c r="E232" t="inlineStr">
        <is>
          <t>GNESTA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68362-2021</t>
        </is>
      </c>
      <c r="B233" s="1" t="n">
        <v>44528</v>
      </c>
      <c r="C233" s="1" t="n">
        <v>45351</v>
      </c>
      <c r="D233" t="inlineStr">
        <is>
          <t>SÖDERMANLANDS LÄN</t>
        </is>
      </c>
      <c r="E233" t="inlineStr">
        <is>
          <t>GNESTA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68687-2021</t>
        </is>
      </c>
      <c r="B234" s="1" t="n">
        <v>44529</v>
      </c>
      <c r="C234" s="1" t="n">
        <v>45351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68389-2021</t>
        </is>
      </c>
      <c r="B235" s="1" t="n">
        <v>44529</v>
      </c>
      <c r="C235" s="1" t="n">
        <v>45351</v>
      </c>
      <c r="D235" t="inlineStr">
        <is>
          <t>SÖDERMANLANDS LÄN</t>
        </is>
      </c>
      <c r="E235" t="inlineStr">
        <is>
          <t>GNESTA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68869-2021</t>
        </is>
      </c>
      <c r="B236" s="1" t="n">
        <v>44529</v>
      </c>
      <c r="C236" s="1" t="n">
        <v>45351</v>
      </c>
      <c r="D236" t="inlineStr">
        <is>
          <t>SÖDERMANLANDS LÄN</t>
        </is>
      </c>
      <c r="E236" t="inlineStr">
        <is>
          <t>GNESTA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69922-2021</t>
        </is>
      </c>
      <c r="B237" s="1" t="n">
        <v>44532</v>
      </c>
      <c r="C237" s="1" t="n">
        <v>45351</v>
      </c>
      <c r="D237" t="inlineStr">
        <is>
          <t>SÖDERMANLANDS LÄN</t>
        </is>
      </c>
      <c r="E237" t="inlineStr">
        <is>
          <t>GNESTA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70782-2021</t>
        </is>
      </c>
      <c r="B238" s="1" t="n">
        <v>44537</v>
      </c>
      <c r="C238" s="1" t="n">
        <v>45351</v>
      </c>
      <c r="D238" t="inlineStr">
        <is>
          <t>SÖDERMANLANDS LÄN</t>
        </is>
      </c>
      <c r="E238" t="inlineStr">
        <is>
          <t>GNESTA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71150-2021</t>
        </is>
      </c>
      <c r="B239" s="1" t="n">
        <v>44539</v>
      </c>
      <c r="C239" s="1" t="n">
        <v>45351</v>
      </c>
      <c r="D239" t="inlineStr">
        <is>
          <t>SÖDERMANLANDS LÄN</t>
        </is>
      </c>
      <c r="E239" t="inlineStr">
        <is>
          <t>GNESTA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71772-2021</t>
        </is>
      </c>
      <c r="B240" s="1" t="n">
        <v>44543</v>
      </c>
      <c r="C240" s="1" t="n">
        <v>45351</v>
      </c>
      <c r="D240" t="inlineStr">
        <is>
          <t>SÖDERMANLANDS LÄN</t>
        </is>
      </c>
      <c r="E240" t="inlineStr">
        <is>
          <t>GNESTA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72341-2021</t>
        </is>
      </c>
      <c r="B241" s="1" t="n">
        <v>44545</v>
      </c>
      <c r="C241" s="1" t="n">
        <v>45351</v>
      </c>
      <c r="D241" t="inlineStr">
        <is>
          <t>SÖDERMANLANDS LÄN</t>
        </is>
      </c>
      <c r="E241" t="inlineStr">
        <is>
          <t>GNESTA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72529-2021</t>
        </is>
      </c>
      <c r="B242" s="1" t="n">
        <v>44546</v>
      </c>
      <c r="C242" s="1" t="n">
        <v>45351</v>
      </c>
      <c r="D242" t="inlineStr">
        <is>
          <t>SÖDERMANLANDS LÄN</t>
        </is>
      </c>
      <c r="E242" t="inlineStr">
        <is>
          <t>GNESTA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73063-2021</t>
        </is>
      </c>
      <c r="B243" s="1" t="n">
        <v>44546</v>
      </c>
      <c r="C243" s="1" t="n">
        <v>45351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73049-2021</t>
        </is>
      </c>
      <c r="B244" s="1" t="n">
        <v>44546</v>
      </c>
      <c r="C244" s="1" t="n">
        <v>45351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73493-2021</t>
        </is>
      </c>
      <c r="B245" s="1" t="n">
        <v>44551</v>
      </c>
      <c r="C245" s="1" t="n">
        <v>45351</v>
      </c>
      <c r="D245" t="inlineStr">
        <is>
          <t>SÖDERMANLANDS LÄN</t>
        </is>
      </c>
      <c r="E245" t="inlineStr">
        <is>
          <t>GNESTA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73482-2021</t>
        </is>
      </c>
      <c r="B246" s="1" t="n">
        <v>44551</v>
      </c>
      <c r="C246" s="1" t="n">
        <v>45351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954-2022</t>
        </is>
      </c>
      <c r="B247" s="1" t="n">
        <v>44571</v>
      </c>
      <c r="C247" s="1" t="n">
        <v>45351</v>
      </c>
      <c r="D247" t="inlineStr">
        <is>
          <t>SÖDERMANLANDS LÄN</t>
        </is>
      </c>
      <c r="E247" t="inlineStr">
        <is>
          <t>GNESTA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1216-2022</t>
        </is>
      </c>
      <c r="B248" s="1" t="n">
        <v>44572</v>
      </c>
      <c r="C248" s="1" t="n">
        <v>45351</v>
      </c>
      <c r="D248" t="inlineStr">
        <is>
          <t>SÖDERMANLANDS LÄN</t>
        </is>
      </c>
      <c r="E248" t="inlineStr">
        <is>
          <t>GNESTA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1549-2022</t>
        </is>
      </c>
      <c r="B249" s="1" t="n">
        <v>44573</v>
      </c>
      <c r="C249" s="1" t="n">
        <v>45351</v>
      </c>
      <c r="D249" t="inlineStr">
        <is>
          <t>SÖDERMANLANDS LÄN</t>
        </is>
      </c>
      <c r="E249" t="inlineStr">
        <is>
          <t>GNESTA</t>
        </is>
      </c>
      <c r="G249" t="n">
        <v>32.6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2276-2022</t>
        </is>
      </c>
      <c r="B250" s="1" t="n">
        <v>44578</v>
      </c>
      <c r="C250" s="1" t="n">
        <v>45351</v>
      </c>
      <c r="D250" t="inlineStr">
        <is>
          <t>SÖDERMANLANDS LÄN</t>
        </is>
      </c>
      <c r="E250" t="inlineStr">
        <is>
          <t>GNESTA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2464-2022</t>
        </is>
      </c>
      <c r="B251" s="1" t="n">
        <v>44579</v>
      </c>
      <c r="C251" s="1" t="n">
        <v>45351</v>
      </c>
      <c r="D251" t="inlineStr">
        <is>
          <t>SÖDERMANLANDS LÄN</t>
        </is>
      </c>
      <c r="E251" t="inlineStr">
        <is>
          <t>GNESTA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2476-2022</t>
        </is>
      </c>
      <c r="B252" s="1" t="n">
        <v>44579</v>
      </c>
      <c r="C252" s="1" t="n">
        <v>45351</v>
      </c>
      <c r="D252" t="inlineStr">
        <is>
          <t>SÖDERMANLANDS LÄN</t>
        </is>
      </c>
      <c r="E252" t="inlineStr">
        <is>
          <t>GNESTA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2982-2022</t>
        </is>
      </c>
      <c r="B253" s="1" t="n">
        <v>44581</v>
      </c>
      <c r="C253" s="1" t="n">
        <v>45351</v>
      </c>
      <c r="D253" t="inlineStr">
        <is>
          <t>SÖDERMANLANDS LÄN</t>
        </is>
      </c>
      <c r="E253" t="inlineStr">
        <is>
          <t>GNESTA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2983-2022</t>
        </is>
      </c>
      <c r="B254" s="1" t="n">
        <v>44581</v>
      </c>
      <c r="C254" s="1" t="n">
        <v>45351</v>
      </c>
      <c r="D254" t="inlineStr">
        <is>
          <t>SÖDERMANLANDS LÄN</t>
        </is>
      </c>
      <c r="E254" t="inlineStr">
        <is>
          <t>GNESTA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3280-2022</t>
        </is>
      </c>
      <c r="B255" s="1" t="n">
        <v>44584</v>
      </c>
      <c r="C255" s="1" t="n">
        <v>45351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3863-2022</t>
        </is>
      </c>
      <c r="B256" s="1" t="n">
        <v>44587</v>
      </c>
      <c r="C256" s="1" t="n">
        <v>45351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3919-2022</t>
        </is>
      </c>
      <c r="B257" s="1" t="n">
        <v>44587</v>
      </c>
      <c r="C257" s="1" t="n">
        <v>45351</v>
      </c>
      <c r="D257" t="inlineStr">
        <is>
          <t>SÖDERMANLANDS LÄN</t>
        </is>
      </c>
      <c r="E257" t="inlineStr">
        <is>
          <t>GNESTA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4438-2022</t>
        </is>
      </c>
      <c r="B258" s="1" t="n">
        <v>44589</v>
      </c>
      <c r="C258" s="1" t="n">
        <v>45351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4429-2022</t>
        </is>
      </c>
      <c r="B259" s="1" t="n">
        <v>44589</v>
      </c>
      <c r="C259" s="1" t="n">
        <v>45351</v>
      </c>
      <c r="D259" t="inlineStr">
        <is>
          <t>SÖDERMANLANDS LÄN</t>
        </is>
      </c>
      <c r="E259" t="inlineStr">
        <is>
          <t>GNESTA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4469-2022</t>
        </is>
      </c>
      <c r="B260" s="1" t="n">
        <v>44589</v>
      </c>
      <c r="C260" s="1" t="n">
        <v>45351</v>
      </c>
      <c r="D260" t="inlineStr">
        <is>
          <t>SÖDERMANLANDS LÄN</t>
        </is>
      </c>
      <c r="E260" t="inlineStr">
        <is>
          <t>GNESTA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4474-2022</t>
        </is>
      </c>
      <c r="B261" s="1" t="n">
        <v>44589</v>
      </c>
      <c r="C261" s="1" t="n">
        <v>45351</v>
      </c>
      <c r="D261" t="inlineStr">
        <is>
          <t>SÖDERMANLANDS LÄN</t>
        </is>
      </c>
      <c r="E261" t="inlineStr">
        <is>
          <t>GNESTA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4383-2022</t>
        </is>
      </c>
      <c r="B262" s="1" t="n">
        <v>44589</v>
      </c>
      <c r="C262" s="1" t="n">
        <v>45351</v>
      </c>
      <c r="D262" t="inlineStr">
        <is>
          <t>SÖDERMANLANDS LÄN</t>
        </is>
      </c>
      <c r="E262" t="inlineStr">
        <is>
          <t>GNESTA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4391-2022</t>
        </is>
      </c>
      <c r="B263" s="1" t="n">
        <v>44589</v>
      </c>
      <c r="C263" s="1" t="n">
        <v>45351</v>
      </c>
      <c r="D263" t="inlineStr">
        <is>
          <t>SÖDERMANLANDS LÄN</t>
        </is>
      </c>
      <c r="E263" t="inlineStr">
        <is>
          <t>GNESTA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4796-2022</t>
        </is>
      </c>
      <c r="B264" s="1" t="n">
        <v>44592</v>
      </c>
      <c r="C264" s="1" t="n">
        <v>45351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5301-2022</t>
        </is>
      </c>
      <c r="B265" s="1" t="n">
        <v>44594</v>
      </c>
      <c r="C265" s="1" t="n">
        <v>45351</v>
      </c>
      <c r="D265" t="inlineStr">
        <is>
          <t>SÖDERMANLANDS LÄN</t>
        </is>
      </c>
      <c r="E265" t="inlineStr">
        <is>
          <t>GNESTA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5270-2022</t>
        </is>
      </c>
      <c r="B266" s="1" t="n">
        <v>44594</v>
      </c>
      <c r="C266" s="1" t="n">
        <v>45351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5397-2022</t>
        </is>
      </c>
      <c r="B267" s="1" t="n">
        <v>44595</v>
      </c>
      <c r="C267" s="1" t="n">
        <v>45351</v>
      </c>
      <c r="D267" t="inlineStr">
        <is>
          <t>SÖDERMANLANDS LÄN</t>
        </is>
      </c>
      <c r="E267" t="inlineStr">
        <is>
          <t>GNESTA</t>
        </is>
      </c>
      <c r="F267" t="inlineStr">
        <is>
          <t>Kyrkan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6086-2022</t>
        </is>
      </c>
      <c r="B268" s="1" t="n">
        <v>44599</v>
      </c>
      <c r="C268" s="1" t="n">
        <v>45351</v>
      </c>
      <c r="D268" t="inlineStr">
        <is>
          <t>SÖDERMANLANDS LÄN</t>
        </is>
      </c>
      <c r="E268" t="inlineStr">
        <is>
          <t>GNESTA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6160-2022</t>
        </is>
      </c>
      <c r="B269" s="1" t="n">
        <v>44599</v>
      </c>
      <c r="C269" s="1" t="n">
        <v>45351</v>
      </c>
      <c r="D269" t="inlineStr">
        <is>
          <t>SÖDERMANLANDS LÄN</t>
        </is>
      </c>
      <c r="E269" t="inlineStr">
        <is>
          <t>GNESTA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6155-2022</t>
        </is>
      </c>
      <c r="B270" s="1" t="n">
        <v>44599</v>
      </c>
      <c r="C270" s="1" t="n">
        <v>45351</v>
      </c>
      <c r="D270" t="inlineStr">
        <is>
          <t>SÖDERMANLANDS LÄN</t>
        </is>
      </c>
      <c r="E270" t="inlineStr">
        <is>
          <t>GNESTA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7054-2022</t>
        </is>
      </c>
      <c r="B271" s="1" t="n">
        <v>44603</v>
      </c>
      <c r="C271" s="1" t="n">
        <v>45351</v>
      </c>
      <c r="D271" t="inlineStr">
        <is>
          <t>SÖDERMANLANDS LÄN</t>
        </is>
      </c>
      <c r="E271" t="inlineStr">
        <is>
          <t>GNESTA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7303-2022</t>
        </is>
      </c>
      <c r="B272" s="1" t="n">
        <v>44606</v>
      </c>
      <c r="C272" s="1" t="n">
        <v>45351</v>
      </c>
      <c r="D272" t="inlineStr">
        <is>
          <t>SÖDERMANLANDS LÄN</t>
        </is>
      </c>
      <c r="E272" t="inlineStr">
        <is>
          <t>GNESTA</t>
        </is>
      </c>
      <c r="F272" t="inlineStr">
        <is>
          <t>Övriga Aktiebolag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7506-2022</t>
        </is>
      </c>
      <c r="B273" s="1" t="n">
        <v>44607</v>
      </c>
      <c r="C273" s="1" t="n">
        <v>45351</v>
      </c>
      <c r="D273" t="inlineStr">
        <is>
          <t>SÖDERMANLANDS LÄN</t>
        </is>
      </c>
      <c r="E273" t="inlineStr">
        <is>
          <t>GNESTA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45351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14078-2022</t>
        </is>
      </c>
      <c r="B275" s="1" t="n">
        <v>44650</v>
      </c>
      <c r="C275" s="1" t="n">
        <v>45351</v>
      </c>
      <c r="D275" t="inlineStr">
        <is>
          <t>SÖDERMANLANDS LÄN</t>
        </is>
      </c>
      <c r="E275" t="inlineStr">
        <is>
          <t>GNESTA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15105-2022</t>
        </is>
      </c>
      <c r="B276" s="1" t="n">
        <v>44657</v>
      </c>
      <c r="C276" s="1" t="n">
        <v>45351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17305-2022</t>
        </is>
      </c>
      <c r="B277" s="1" t="n">
        <v>44678</v>
      </c>
      <c r="C277" s="1" t="n">
        <v>45351</v>
      </c>
      <c r="D277" t="inlineStr">
        <is>
          <t>SÖDERMANLANDS LÄN</t>
        </is>
      </c>
      <c r="E277" t="inlineStr">
        <is>
          <t>GNESTA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17304-2022</t>
        </is>
      </c>
      <c r="B278" s="1" t="n">
        <v>44678</v>
      </c>
      <c r="C278" s="1" t="n">
        <v>45351</v>
      </c>
      <c r="D278" t="inlineStr">
        <is>
          <t>SÖDERMANLANDS LÄN</t>
        </is>
      </c>
      <c r="E278" t="inlineStr">
        <is>
          <t>GNESTA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19139-2022</t>
        </is>
      </c>
      <c r="B279" s="1" t="n">
        <v>44691</v>
      </c>
      <c r="C279" s="1" t="n">
        <v>45351</v>
      </c>
      <c r="D279" t="inlineStr">
        <is>
          <t>SÖDERMANLANDS LÄN</t>
        </is>
      </c>
      <c r="E279" t="inlineStr">
        <is>
          <t>GNESTA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20033-2022</t>
        </is>
      </c>
      <c r="B280" s="1" t="n">
        <v>44697</v>
      </c>
      <c r="C280" s="1" t="n">
        <v>45351</v>
      </c>
      <c r="D280" t="inlineStr">
        <is>
          <t>SÖDERMANLANDS LÄN</t>
        </is>
      </c>
      <c r="E280" t="inlineStr">
        <is>
          <t>GNESTA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20112-2022</t>
        </is>
      </c>
      <c r="B281" s="1" t="n">
        <v>44698</v>
      </c>
      <c r="C281" s="1" t="n">
        <v>45351</v>
      </c>
      <c r="D281" t="inlineStr">
        <is>
          <t>SÖDERMANLANDS LÄN</t>
        </is>
      </c>
      <c r="E281" t="inlineStr">
        <is>
          <t>GNESTA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20792-2022</t>
        </is>
      </c>
      <c r="B282" s="1" t="n">
        <v>44701</v>
      </c>
      <c r="C282" s="1" t="n">
        <v>45351</v>
      </c>
      <c r="D282" t="inlineStr">
        <is>
          <t>SÖDERMANLANDS LÄN</t>
        </is>
      </c>
      <c r="E282" t="inlineStr">
        <is>
          <t>GNESTA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24354-2022</t>
        </is>
      </c>
      <c r="B283" s="1" t="n">
        <v>44726</v>
      </c>
      <c r="C283" s="1" t="n">
        <v>45351</v>
      </c>
      <c r="D283" t="inlineStr">
        <is>
          <t>SÖDERMANLANDS LÄN</t>
        </is>
      </c>
      <c r="E283" t="inlineStr">
        <is>
          <t>GNESTA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27428-2022</t>
        </is>
      </c>
      <c r="B284" s="1" t="n">
        <v>44742</v>
      </c>
      <c r="C284" s="1" t="n">
        <v>45351</v>
      </c>
      <c r="D284" t="inlineStr">
        <is>
          <t>SÖDERMANLANDS LÄN</t>
        </is>
      </c>
      <c r="E284" t="inlineStr">
        <is>
          <t>GNESTA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29527-2022</t>
        </is>
      </c>
      <c r="B285" s="1" t="n">
        <v>44742</v>
      </c>
      <c r="C285" s="1" t="n">
        <v>45351</v>
      </c>
      <c r="D285" t="inlineStr">
        <is>
          <t>SÖDERMANLANDS LÄN</t>
        </is>
      </c>
      <c r="E285" t="inlineStr">
        <is>
          <t>GNESTA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29758-2022</t>
        </is>
      </c>
      <c r="B286" s="1" t="n">
        <v>44755</v>
      </c>
      <c r="C286" s="1" t="n">
        <v>45351</v>
      </c>
      <c r="D286" t="inlineStr">
        <is>
          <t>SÖDERMANLANDS LÄN</t>
        </is>
      </c>
      <c r="E286" t="inlineStr">
        <is>
          <t>GNESTA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30706-2022</t>
        </is>
      </c>
      <c r="B287" s="1" t="n">
        <v>44763</v>
      </c>
      <c r="C287" s="1" t="n">
        <v>45351</v>
      </c>
      <c r="D287" t="inlineStr">
        <is>
          <t>SÖDERMANLANDS LÄN</t>
        </is>
      </c>
      <c r="E287" t="inlineStr">
        <is>
          <t>GNESTA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30911-2022</t>
        </is>
      </c>
      <c r="B288" s="1" t="n">
        <v>44767</v>
      </c>
      <c r="C288" s="1" t="n">
        <v>45351</v>
      </c>
      <c r="D288" t="inlineStr">
        <is>
          <t>SÖDERMANLANDS LÄN</t>
        </is>
      </c>
      <c r="E288" t="inlineStr">
        <is>
          <t>GNESTA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31307-2022</t>
        </is>
      </c>
      <c r="B289" s="1" t="n">
        <v>44774</v>
      </c>
      <c r="C289" s="1" t="n">
        <v>45351</v>
      </c>
      <c r="D289" t="inlineStr">
        <is>
          <t>SÖDERMANLANDS LÄN</t>
        </is>
      </c>
      <c r="E289" t="inlineStr">
        <is>
          <t>GNESTA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31306-2022</t>
        </is>
      </c>
      <c r="B290" s="1" t="n">
        <v>44773</v>
      </c>
      <c r="C290" s="1" t="n">
        <v>45351</v>
      </c>
      <c r="D290" t="inlineStr">
        <is>
          <t>SÖDERMANLANDS LÄN</t>
        </is>
      </c>
      <c r="E290" t="inlineStr">
        <is>
          <t>GNESTA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31305-2022</t>
        </is>
      </c>
      <c r="B291" s="1" t="n">
        <v>44774</v>
      </c>
      <c r="C291" s="1" t="n">
        <v>45351</v>
      </c>
      <c r="D291" t="inlineStr">
        <is>
          <t>SÖDERMANLANDS LÄN</t>
        </is>
      </c>
      <c r="E291" t="inlineStr">
        <is>
          <t>GNESTA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31832-2022</t>
        </is>
      </c>
      <c r="B292" s="1" t="n">
        <v>44776</v>
      </c>
      <c r="C292" s="1" t="n">
        <v>45351</v>
      </c>
      <c r="D292" t="inlineStr">
        <is>
          <t>SÖDERMANLANDS LÄN</t>
        </is>
      </c>
      <c r="E292" t="inlineStr">
        <is>
          <t>GNESTA</t>
        </is>
      </c>
      <c r="F292" t="inlineStr">
        <is>
          <t>Allmännings- och besparingsskogar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31830-2022</t>
        </is>
      </c>
      <c r="B293" s="1" t="n">
        <v>44776</v>
      </c>
      <c r="C293" s="1" t="n">
        <v>45351</v>
      </c>
      <c r="D293" t="inlineStr">
        <is>
          <t>SÖDERMANLANDS LÄN</t>
        </is>
      </c>
      <c r="E293" t="inlineStr">
        <is>
          <t>GNESTA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32273-2022</t>
        </is>
      </c>
      <c r="B294" s="1" t="n">
        <v>44781</v>
      </c>
      <c r="C294" s="1" t="n">
        <v>45351</v>
      </c>
      <c r="D294" t="inlineStr">
        <is>
          <t>SÖDERMANLANDS LÄN</t>
        </is>
      </c>
      <c r="E294" t="inlineStr">
        <is>
          <t>GNESTA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32215-2022</t>
        </is>
      </c>
      <c r="B295" s="1" t="n">
        <v>44781</v>
      </c>
      <c r="C295" s="1" t="n">
        <v>45351</v>
      </c>
      <c r="D295" t="inlineStr">
        <is>
          <t>SÖDERMANLANDS LÄN</t>
        </is>
      </c>
      <c r="E295" t="inlineStr">
        <is>
          <t>GNESTA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32320-2022</t>
        </is>
      </c>
      <c r="B296" s="1" t="n">
        <v>44781</v>
      </c>
      <c r="C296" s="1" t="n">
        <v>45351</v>
      </c>
      <c r="D296" t="inlineStr">
        <is>
          <t>SÖDERMANLANDS LÄN</t>
        </is>
      </c>
      <c r="E296" t="inlineStr">
        <is>
          <t>GNESTA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32858-2022</t>
        </is>
      </c>
      <c r="B297" s="1" t="n">
        <v>44784</v>
      </c>
      <c r="C297" s="1" t="n">
        <v>45351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32854-2022</t>
        </is>
      </c>
      <c r="B298" s="1" t="n">
        <v>44784</v>
      </c>
      <c r="C298" s="1" t="n">
        <v>45351</v>
      </c>
      <c r="D298" t="inlineStr">
        <is>
          <t>SÖDERMANLANDS LÄN</t>
        </is>
      </c>
      <c r="E298" t="inlineStr">
        <is>
          <t>GNESTA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32923-2022</t>
        </is>
      </c>
      <c r="B299" s="1" t="n">
        <v>44784</v>
      </c>
      <c r="C299" s="1" t="n">
        <v>45351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33758-2022</t>
        </is>
      </c>
      <c r="B300" s="1" t="n">
        <v>44790</v>
      </c>
      <c r="C300" s="1" t="n">
        <v>45351</v>
      </c>
      <c r="D300" t="inlineStr">
        <is>
          <t>SÖDERMANLANDS LÄN</t>
        </is>
      </c>
      <c r="E300" t="inlineStr">
        <is>
          <t>GNESTA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34029-2022</t>
        </is>
      </c>
      <c r="B301" s="1" t="n">
        <v>44791</v>
      </c>
      <c r="C301" s="1" t="n">
        <v>45351</v>
      </c>
      <c r="D301" t="inlineStr">
        <is>
          <t>SÖDERMANLANDS LÄN</t>
        </is>
      </c>
      <c r="E301" t="inlineStr">
        <is>
          <t>GNESTA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34696-2022</t>
        </is>
      </c>
      <c r="B302" s="1" t="n">
        <v>44795</v>
      </c>
      <c r="C302" s="1" t="n">
        <v>45351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34765-2022</t>
        </is>
      </c>
      <c r="B303" s="1" t="n">
        <v>44795</v>
      </c>
      <c r="C303" s="1" t="n">
        <v>45351</v>
      </c>
      <c r="D303" t="inlineStr">
        <is>
          <t>SÖDERMANLANDS LÄN</t>
        </is>
      </c>
      <c r="E303" t="inlineStr">
        <is>
          <t>GNESTA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35173-2022</t>
        </is>
      </c>
      <c r="B304" s="1" t="n">
        <v>44797</v>
      </c>
      <c r="C304" s="1" t="n">
        <v>45351</v>
      </c>
      <c r="D304" t="inlineStr">
        <is>
          <t>SÖDERMANLANDS LÄN</t>
        </is>
      </c>
      <c r="E304" t="inlineStr">
        <is>
          <t>GNESTA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36205-2022</t>
        </is>
      </c>
      <c r="B305" s="1" t="n">
        <v>44803</v>
      </c>
      <c r="C305" s="1" t="n">
        <v>45351</v>
      </c>
      <c r="D305" t="inlineStr">
        <is>
          <t>SÖDERMANLANDS LÄN</t>
        </is>
      </c>
      <c r="E305" t="inlineStr">
        <is>
          <t>GNESTA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36162-2022</t>
        </is>
      </c>
      <c r="B306" s="1" t="n">
        <v>44803</v>
      </c>
      <c r="C306" s="1" t="n">
        <v>45351</v>
      </c>
      <c r="D306" t="inlineStr">
        <is>
          <t>SÖDERMANLANDS LÄN</t>
        </is>
      </c>
      <c r="E306" t="inlineStr">
        <is>
          <t>GNESTA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40075-2022</t>
        </is>
      </c>
      <c r="B307" s="1" t="n">
        <v>44819</v>
      </c>
      <c r="C307" s="1" t="n">
        <v>45351</v>
      </c>
      <c r="D307" t="inlineStr">
        <is>
          <t>SÖDERMANLANDS LÄN</t>
        </is>
      </c>
      <c r="E307" t="inlineStr">
        <is>
          <t>GNESTA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40041-2022</t>
        </is>
      </c>
      <c r="B308" s="1" t="n">
        <v>44820</v>
      </c>
      <c r="C308" s="1" t="n">
        <v>45351</v>
      </c>
      <c r="D308" t="inlineStr">
        <is>
          <t>SÖDERMANLANDS LÄN</t>
        </is>
      </c>
      <c r="E308" t="inlineStr">
        <is>
          <t>GNESTA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42178-2022</t>
        </is>
      </c>
      <c r="B309" s="1" t="n">
        <v>44830</v>
      </c>
      <c r="C309" s="1" t="n">
        <v>45351</v>
      </c>
      <c r="D309" t="inlineStr">
        <is>
          <t>SÖDERMANLANDS LÄN</t>
        </is>
      </c>
      <c r="E309" t="inlineStr">
        <is>
          <t>GNESTA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42200-2022</t>
        </is>
      </c>
      <c r="B310" s="1" t="n">
        <v>44830</v>
      </c>
      <c r="C310" s="1" t="n">
        <v>45351</v>
      </c>
      <c r="D310" t="inlineStr">
        <is>
          <t>SÖDERMANLANDS LÄN</t>
        </is>
      </c>
      <c r="E310" t="inlineStr">
        <is>
          <t>GNESTA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42226-2022</t>
        </is>
      </c>
      <c r="B311" s="1" t="n">
        <v>44830</v>
      </c>
      <c r="C311" s="1" t="n">
        <v>45351</v>
      </c>
      <c r="D311" t="inlineStr">
        <is>
          <t>SÖDERMANLANDS LÄN</t>
        </is>
      </c>
      <c r="E311" t="inlineStr">
        <is>
          <t>GNESTA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42516-2022</t>
        </is>
      </c>
      <c r="B312" s="1" t="n">
        <v>44831</v>
      </c>
      <c r="C312" s="1" t="n">
        <v>45351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42524-2022</t>
        </is>
      </c>
      <c r="B313" s="1" t="n">
        <v>44831</v>
      </c>
      <c r="C313" s="1" t="n">
        <v>45351</v>
      </c>
      <c r="D313" t="inlineStr">
        <is>
          <t>SÖDERMANLANDS LÄN</t>
        </is>
      </c>
      <c r="E313" t="inlineStr">
        <is>
          <t>GNESTA</t>
        </is>
      </c>
      <c r="G313" t="n">
        <v>14.8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42520-2022</t>
        </is>
      </c>
      <c r="B314" s="1" t="n">
        <v>44831</v>
      </c>
      <c r="C314" s="1" t="n">
        <v>45351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43052-2022</t>
        </is>
      </c>
      <c r="B315" s="1" t="n">
        <v>44833</v>
      </c>
      <c r="C315" s="1" t="n">
        <v>45351</v>
      </c>
      <c r="D315" t="inlineStr">
        <is>
          <t>SÖDERMANLANDS LÄN</t>
        </is>
      </c>
      <c r="E315" t="inlineStr">
        <is>
          <t>GNESTA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43201-2022</t>
        </is>
      </c>
      <c r="B316" s="1" t="n">
        <v>44833</v>
      </c>
      <c r="C316" s="1" t="n">
        <v>45351</v>
      </c>
      <c r="D316" t="inlineStr">
        <is>
          <t>SÖDERMANLANDS LÄN</t>
        </is>
      </c>
      <c r="E316" t="inlineStr">
        <is>
          <t>GNESTA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43198-2022</t>
        </is>
      </c>
      <c r="B317" s="1" t="n">
        <v>44833</v>
      </c>
      <c r="C317" s="1" t="n">
        <v>45351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43192-2022</t>
        </is>
      </c>
      <c r="B318" s="1" t="n">
        <v>44833</v>
      </c>
      <c r="C318" s="1" t="n">
        <v>45351</v>
      </c>
      <c r="D318" t="inlineStr">
        <is>
          <t>SÖDERMANLANDS LÄN</t>
        </is>
      </c>
      <c r="E318" t="inlineStr">
        <is>
          <t>GNESTA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44624-2022</t>
        </is>
      </c>
      <c r="B319" s="1" t="n">
        <v>44839</v>
      </c>
      <c r="C319" s="1" t="n">
        <v>45351</v>
      </c>
      <c r="D319" t="inlineStr">
        <is>
          <t>SÖDERMANLANDS LÄN</t>
        </is>
      </c>
      <c r="E319" t="inlineStr">
        <is>
          <t>GNESTA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44786-2022</t>
        </is>
      </c>
      <c r="B320" s="1" t="n">
        <v>44839</v>
      </c>
      <c r="C320" s="1" t="n">
        <v>45351</v>
      </c>
      <c r="D320" t="inlineStr">
        <is>
          <t>SÖDERMANLANDS LÄN</t>
        </is>
      </c>
      <c r="E320" t="inlineStr">
        <is>
          <t>GNESTA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44788-2022</t>
        </is>
      </c>
      <c r="B321" s="1" t="n">
        <v>44839</v>
      </c>
      <c r="C321" s="1" t="n">
        <v>45351</v>
      </c>
      <c r="D321" t="inlineStr">
        <is>
          <t>SÖDERMANLANDS LÄN</t>
        </is>
      </c>
      <c r="E321" t="inlineStr">
        <is>
          <t>GNESTA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45652-2022</t>
        </is>
      </c>
      <c r="B322" s="1" t="n">
        <v>44841</v>
      </c>
      <c r="C322" s="1" t="n">
        <v>45351</v>
      </c>
      <c r="D322" t="inlineStr">
        <is>
          <t>SÖDERMANLANDS LÄN</t>
        </is>
      </c>
      <c r="E322" t="inlineStr">
        <is>
          <t>GNESTA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45911-2022</t>
        </is>
      </c>
      <c r="B323" s="1" t="n">
        <v>44846</v>
      </c>
      <c r="C323" s="1" t="n">
        <v>45351</v>
      </c>
      <c r="D323" t="inlineStr">
        <is>
          <t>SÖDERMANLANDS LÄN</t>
        </is>
      </c>
      <c r="E323" t="inlineStr">
        <is>
          <t>GNESTA</t>
        </is>
      </c>
      <c r="F323" t="inlineStr">
        <is>
          <t>Allmännings- och besparingsskogar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47013-2022</t>
        </is>
      </c>
      <c r="B324" s="1" t="n">
        <v>44852</v>
      </c>
      <c r="C324" s="1" t="n">
        <v>45351</v>
      </c>
      <c r="D324" t="inlineStr">
        <is>
          <t>SÖDERMANLANDS LÄN</t>
        </is>
      </c>
      <c r="E324" t="inlineStr">
        <is>
          <t>GNESTA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47971-2022</t>
        </is>
      </c>
      <c r="B325" s="1" t="n">
        <v>44853</v>
      </c>
      <c r="C325" s="1" t="n">
        <v>45351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47969-2022</t>
        </is>
      </c>
      <c r="B326" s="1" t="n">
        <v>44853</v>
      </c>
      <c r="C326" s="1" t="n">
        <v>45351</v>
      </c>
      <c r="D326" t="inlineStr">
        <is>
          <t>SÖDERMANLANDS LÄN</t>
        </is>
      </c>
      <c r="E326" t="inlineStr">
        <is>
          <t>GNESTA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49011-2022</t>
        </is>
      </c>
      <c r="B327" s="1" t="n">
        <v>44860</v>
      </c>
      <c r="C327" s="1" t="n">
        <v>45351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49923-2022</t>
        </is>
      </c>
      <c r="B328" s="1" t="n">
        <v>44865</v>
      </c>
      <c r="C328" s="1" t="n">
        <v>45351</v>
      </c>
      <c r="D328" t="inlineStr">
        <is>
          <t>SÖDERMANLANDS LÄN</t>
        </is>
      </c>
      <c r="E328" t="inlineStr">
        <is>
          <t>GNESTA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51375-2022</t>
        </is>
      </c>
      <c r="B329" s="1" t="n">
        <v>44869</v>
      </c>
      <c r="C329" s="1" t="n">
        <v>45351</v>
      </c>
      <c r="D329" t="inlineStr">
        <is>
          <t>SÖDERMANLANDS LÄN</t>
        </is>
      </c>
      <c r="E329" t="inlineStr">
        <is>
          <t>GNESTA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52247-2022</t>
        </is>
      </c>
      <c r="B330" s="1" t="n">
        <v>44873</v>
      </c>
      <c r="C330" s="1" t="n">
        <v>45351</v>
      </c>
      <c r="D330" t="inlineStr">
        <is>
          <t>SÖDERMANLANDS LÄN</t>
        </is>
      </c>
      <c r="E330" t="inlineStr">
        <is>
          <t>GNESTA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56140-2022</t>
        </is>
      </c>
      <c r="B331" s="1" t="n">
        <v>44889</v>
      </c>
      <c r="C331" s="1" t="n">
        <v>45351</v>
      </c>
      <c r="D331" t="inlineStr">
        <is>
          <t>SÖDERMANLANDS LÄN</t>
        </is>
      </c>
      <c r="E331" t="inlineStr">
        <is>
          <t>GNESTA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56442-2022</t>
        </is>
      </c>
      <c r="B332" s="1" t="n">
        <v>44892</v>
      </c>
      <c r="C332" s="1" t="n">
        <v>45351</v>
      </c>
      <c r="D332" t="inlineStr">
        <is>
          <t>SÖDERMANLANDS LÄN</t>
        </is>
      </c>
      <c r="E332" t="inlineStr">
        <is>
          <t>GNESTA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56611-2022</t>
        </is>
      </c>
      <c r="B333" s="1" t="n">
        <v>44893</v>
      </c>
      <c r="C333" s="1" t="n">
        <v>45351</v>
      </c>
      <c r="D333" t="inlineStr">
        <is>
          <t>SÖDERMANLANDS LÄN</t>
        </is>
      </c>
      <c r="E333" t="inlineStr">
        <is>
          <t>GNESTA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58205-2022</t>
        </is>
      </c>
      <c r="B334" s="1" t="n">
        <v>44901</v>
      </c>
      <c r="C334" s="1" t="n">
        <v>45351</v>
      </c>
      <c r="D334" t="inlineStr">
        <is>
          <t>SÖDERMANLANDS LÄN</t>
        </is>
      </c>
      <c r="E334" t="inlineStr">
        <is>
          <t>GNESTA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58219-2022</t>
        </is>
      </c>
      <c r="B335" s="1" t="n">
        <v>44901</v>
      </c>
      <c r="C335" s="1" t="n">
        <v>45351</v>
      </c>
      <c r="D335" t="inlineStr">
        <is>
          <t>SÖDERMANLANDS LÄN</t>
        </is>
      </c>
      <c r="E335" t="inlineStr">
        <is>
          <t>GNESTA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58428-2022</t>
        </is>
      </c>
      <c r="B336" s="1" t="n">
        <v>44901</v>
      </c>
      <c r="C336" s="1" t="n">
        <v>45351</v>
      </c>
      <c r="D336" t="inlineStr">
        <is>
          <t>SÖDERMANLANDS LÄN</t>
        </is>
      </c>
      <c r="E336" t="inlineStr">
        <is>
          <t>GNESTA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58451-2022</t>
        </is>
      </c>
      <c r="B337" s="1" t="n">
        <v>44901</v>
      </c>
      <c r="C337" s="1" t="n">
        <v>45351</v>
      </c>
      <c r="D337" t="inlineStr">
        <is>
          <t>SÖDERMANLANDS LÄN</t>
        </is>
      </c>
      <c r="E337" t="inlineStr">
        <is>
          <t>GNESTA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58457-2022</t>
        </is>
      </c>
      <c r="B338" s="1" t="n">
        <v>44902</v>
      </c>
      <c r="C338" s="1" t="n">
        <v>45351</v>
      </c>
      <c r="D338" t="inlineStr">
        <is>
          <t>SÖDERMANLANDS LÄN</t>
        </is>
      </c>
      <c r="E338" t="inlineStr">
        <is>
          <t>GNESTA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59477-2022</t>
        </is>
      </c>
      <c r="B339" s="1" t="n">
        <v>44907</v>
      </c>
      <c r="C339" s="1" t="n">
        <v>45351</v>
      </c>
      <c r="D339" t="inlineStr">
        <is>
          <t>SÖDERMANLANDS LÄN</t>
        </is>
      </c>
      <c r="E339" t="inlineStr">
        <is>
          <t>GNESTA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59471-2022</t>
        </is>
      </c>
      <c r="B340" s="1" t="n">
        <v>44907</v>
      </c>
      <c r="C340" s="1" t="n">
        <v>45351</v>
      </c>
      <c r="D340" t="inlineStr">
        <is>
          <t>SÖDERMANLANDS LÄN</t>
        </is>
      </c>
      <c r="E340" t="inlineStr">
        <is>
          <t>GNESTA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60124-2022</t>
        </is>
      </c>
      <c r="B341" s="1" t="n">
        <v>44909</v>
      </c>
      <c r="C341" s="1" t="n">
        <v>45351</v>
      </c>
      <c r="D341" t="inlineStr">
        <is>
          <t>SÖDERMANLANDS LÄN</t>
        </is>
      </c>
      <c r="E341" t="inlineStr">
        <is>
          <t>GNESTA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61179-2022</t>
        </is>
      </c>
      <c r="B342" s="1" t="n">
        <v>44915</v>
      </c>
      <c r="C342" s="1" t="n">
        <v>45351</v>
      </c>
      <c r="D342" t="inlineStr">
        <is>
          <t>SÖDERMANLANDS LÄN</t>
        </is>
      </c>
      <c r="E342" t="inlineStr">
        <is>
          <t>GNESTA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61896-2022</t>
        </is>
      </c>
      <c r="B343" s="1" t="n">
        <v>44917</v>
      </c>
      <c r="C343" s="1" t="n">
        <v>45351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62020-2022</t>
        </is>
      </c>
      <c r="B344" s="1" t="n">
        <v>44918</v>
      </c>
      <c r="C344" s="1" t="n">
        <v>45351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62016-2022</t>
        </is>
      </c>
      <c r="B345" s="1" t="n">
        <v>44918</v>
      </c>
      <c r="C345" s="1" t="n">
        <v>45351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62018-2022</t>
        </is>
      </c>
      <c r="B346" s="1" t="n">
        <v>44918</v>
      </c>
      <c r="C346" s="1" t="n">
        <v>45351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62022-2022</t>
        </is>
      </c>
      <c r="B347" s="1" t="n">
        <v>44918</v>
      </c>
      <c r="C347" s="1" t="n">
        <v>45351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62216-2022</t>
        </is>
      </c>
      <c r="B348" s="1" t="n">
        <v>44922</v>
      </c>
      <c r="C348" s="1" t="n">
        <v>45351</v>
      </c>
      <c r="D348" t="inlineStr">
        <is>
          <t>SÖDERMANLANDS LÄN</t>
        </is>
      </c>
      <c r="E348" t="inlineStr">
        <is>
          <t>GNESTA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62247-2022</t>
        </is>
      </c>
      <c r="B349" s="1" t="n">
        <v>44922</v>
      </c>
      <c r="C349" s="1" t="n">
        <v>45351</v>
      </c>
      <c r="D349" t="inlineStr">
        <is>
          <t>SÖDERMANLANDS LÄN</t>
        </is>
      </c>
      <c r="E349" t="inlineStr">
        <is>
          <t>GNESTA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62244-2022</t>
        </is>
      </c>
      <c r="B350" s="1" t="n">
        <v>44922</v>
      </c>
      <c r="C350" s="1" t="n">
        <v>45351</v>
      </c>
      <c r="D350" t="inlineStr">
        <is>
          <t>SÖDERMANLANDS LÄN</t>
        </is>
      </c>
      <c r="E350" t="inlineStr">
        <is>
          <t>GNESTA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62252-2022</t>
        </is>
      </c>
      <c r="B351" s="1" t="n">
        <v>44922</v>
      </c>
      <c r="C351" s="1" t="n">
        <v>45351</v>
      </c>
      <c r="D351" t="inlineStr">
        <is>
          <t>SÖDERMANLANDS LÄN</t>
        </is>
      </c>
      <c r="E351" t="inlineStr">
        <is>
          <t>GNESTA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5-2023</t>
        </is>
      </c>
      <c r="B352" s="1" t="n">
        <v>44927</v>
      </c>
      <c r="C352" s="1" t="n">
        <v>45351</v>
      </c>
      <c r="D352" t="inlineStr">
        <is>
          <t>SÖDERMANLANDS LÄN</t>
        </is>
      </c>
      <c r="E352" t="inlineStr">
        <is>
          <t>GNESTA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1378-2023</t>
        </is>
      </c>
      <c r="B353" s="1" t="n">
        <v>44930</v>
      </c>
      <c r="C353" s="1" t="n">
        <v>45351</v>
      </c>
      <c r="D353" t="inlineStr">
        <is>
          <t>SÖDERMANLANDS LÄN</t>
        </is>
      </c>
      <c r="E353" t="inlineStr">
        <is>
          <t>GNESTA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2920-2023</t>
        </is>
      </c>
      <c r="B354" s="1" t="n">
        <v>44945</v>
      </c>
      <c r="C354" s="1" t="n">
        <v>45351</v>
      </c>
      <c r="D354" t="inlineStr">
        <is>
          <t>SÖDERMANLANDS LÄN</t>
        </is>
      </c>
      <c r="E354" t="inlineStr">
        <is>
          <t>GNESTA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3002-2023</t>
        </is>
      </c>
      <c r="B355" s="1" t="n">
        <v>44945</v>
      </c>
      <c r="C355" s="1" t="n">
        <v>45351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3003-2023</t>
        </is>
      </c>
      <c r="B356" s="1" t="n">
        <v>44945</v>
      </c>
      <c r="C356" s="1" t="n">
        <v>45351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3004-2023</t>
        </is>
      </c>
      <c r="B357" s="1" t="n">
        <v>44945</v>
      </c>
      <c r="C357" s="1" t="n">
        <v>45351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3227-2023</t>
        </is>
      </c>
      <c r="B358" s="1" t="n">
        <v>44946</v>
      </c>
      <c r="C358" s="1" t="n">
        <v>45351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3847-2023</t>
        </is>
      </c>
      <c r="B359" s="1" t="n">
        <v>44951</v>
      </c>
      <c r="C359" s="1" t="n">
        <v>45351</v>
      </c>
      <c r="D359" t="inlineStr">
        <is>
          <t>SÖDERMANLANDS LÄN</t>
        </is>
      </c>
      <c r="E359" t="inlineStr">
        <is>
          <t>GNESTA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4509-2023</t>
        </is>
      </c>
      <c r="B360" s="1" t="n">
        <v>44956</v>
      </c>
      <c r="C360" s="1" t="n">
        <v>45351</v>
      </c>
      <c r="D360" t="inlineStr">
        <is>
          <t>SÖDERMANLANDS LÄN</t>
        </is>
      </c>
      <c r="E360" t="inlineStr">
        <is>
          <t>GNESTA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5822-2023</t>
        </is>
      </c>
      <c r="B361" s="1" t="n">
        <v>44958</v>
      </c>
      <c r="C361" s="1" t="n">
        <v>45351</v>
      </c>
      <c r="D361" t="inlineStr">
        <is>
          <t>SÖDERMANLANDS LÄN</t>
        </is>
      </c>
      <c r="E361" t="inlineStr">
        <is>
          <t>GNESTA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5911-2023</t>
        </is>
      </c>
      <c r="B362" s="1" t="n">
        <v>44963</v>
      </c>
      <c r="C362" s="1" t="n">
        <v>45351</v>
      </c>
      <c r="D362" t="inlineStr">
        <is>
          <t>SÖDERMANLANDS LÄN</t>
        </is>
      </c>
      <c r="E362" t="inlineStr">
        <is>
          <t>GNESTA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5928-2023</t>
        </is>
      </c>
      <c r="B363" s="1" t="n">
        <v>44963</v>
      </c>
      <c r="C363" s="1" t="n">
        <v>45351</v>
      </c>
      <c r="D363" t="inlineStr">
        <is>
          <t>SÖDERMANLANDS LÄN</t>
        </is>
      </c>
      <c r="E363" t="inlineStr">
        <is>
          <t>GNESTA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6216-2023</t>
        </is>
      </c>
      <c r="B364" s="1" t="n">
        <v>44964</v>
      </c>
      <c r="C364" s="1" t="n">
        <v>45351</v>
      </c>
      <c r="D364" t="inlineStr">
        <is>
          <t>SÖDERMANLANDS LÄN</t>
        </is>
      </c>
      <c r="E364" t="inlineStr">
        <is>
          <t>GNESTA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6394-2023</t>
        </is>
      </c>
      <c r="B365" s="1" t="n">
        <v>44965</v>
      </c>
      <c r="C365" s="1" t="n">
        <v>45351</v>
      </c>
      <c r="D365" t="inlineStr">
        <is>
          <t>SÖDERMANLANDS LÄN</t>
        </is>
      </c>
      <c r="E365" t="inlineStr">
        <is>
          <t>GNESTA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7214-2023</t>
        </is>
      </c>
      <c r="B366" s="1" t="n">
        <v>44970</v>
      </c>
      <c r="C366" s="1" t="n">
        <v>45351</v>
      </c>
      <c r="D366" t="inlineStr">
        <is>
          <t>SÖDERMANLANDS LÄN</t>
        </is>
      </c>
      <c r="E366" t="inlineStr">
        <is>
          <t>GNESTA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7292-2023</t>
        </is>
      </c>
      <c r="B367" s="1" t="n">
        <v>44970</v>
      </c>
      <c r="C367" s="1" t="n">
        <v>45351</v>
      </c>
      <c r="D367" t="inlineStr">
        <is>
          <t>SÖDERMANLANDS LÄN</t>
        </is>
      </c>
      <c r="E367" t="inlineStr">
        <is>
          <t>GNESTA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7644-2023</t>
        </is>
      </c>
      <c r="B368" s="1" t="n">
        <v>44972</v>
      </c>
      <c r="C368" s="1" t="n">
        <v>45351</v>
      </c>
      <c r="D368" t="inlineStr">
        <is>
          <t>SÖDERMANLANDS LÄN</t>
        </is>
      </c>
      <c r="E368" t="inlineStr">
        <is>
          <t>GNESTA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7657-2023</t>
        </is>
      </c>
      <c r="B369" s="1" t="n">
        <v>44972</v>
      </c>
      <c r="C369" s="1" t="n">
        <v>45351</v>
      </c>
      <c r="D369" t="inlineStr">
        <is>
          <t>SÖDERMANLANDS LÄN</t>
        </is>
      </c>
      <c r="E369" t="inlineStr">
        <is>
          <t>GNESTA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7669-2023</t>
        </is>
      </c>
      <c r="B370" s="1" t="n">
        <v>44972</v>
      </c>
      <c r="C370" s="1" t="n">
        <v>45351</v>
      </c>
      <c r="D370" t="inlineStr">
        <is>
          <t>SÖDERMANLANDS LÄN</t>
        </is>
      </c>
      <c r="E370" t="inlineStr">
        <is>
          <t>GNESTA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7653-2023</t>
        </is>
      </c>
      <c r="B371" s="1" t="n">
        <v>44972</v>
      </c>
      <c r="C371" s="1" t="n">
        <v>45351</v>
      </c>
      <c r="D371" t="inlineStr">
        <is>
          <t>SÖDERMANLANDS LÄN</t>
        </is>
      </c>
      <c r="E371" t="inlineStr">
        <is>
          <t>GNESTA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7667-2023</t>
        </is>
      </c>
      <c r="B372" s="1" t="n">
        <v>44972</v>
      </c>
      <c r="C372" s="1" t="n">
        <v>45351</v>
      </c>
      <c r="D372" t="inlineStr">
        <is>
          <t>SÖDERMANLANDS LÄN</t>
        </is>
      </c>
      <c r="E372" t="inlineStr">
        <is>
          <t>GNESTA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7735-2023</t>
        </is>
      </c>
      <c r="B373" s="1" t="n">
        <v>44973</v>
      </c>
      <c r="C373" s="1" t="n">
        <v>45351</v>
      </c>
      <c r="D373" t="inlineStr">
        <is>
          <t>SÖDERMANLANDS LÄN</t>
        </is>
      </c>
      <c r="E373" t="inlineStr">
        <is>
          <t>GNESTA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7777-2023</t>
        </is>
      </c>
      <c r="B374" s="1" t="n">
        <v>44973</v>
      </c>
      <c r="C374" s="1" t="n">
        <v>45351</v>
      </c>
      <c r="D374" t="inlineStr">
        <is>
          <t>SÖDERMANLANDS LÄN</t>
        </is>
      </c>
      <c r="E374" t="inlineStr">
        <is>
          <t>GNESTA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7794-2023</t>
        </is>
      </c>
      <c r="B375" s="1" t="n">
        <v>44973</v>
      </c>
      <c r="C375" s="1" t="n">
        <v>45351</v>
      </c>
      <c r="D375" t="inlineStr">
        <is>
          <t>SÖDERMANLANDS LÄN</t>
        </is>
      </c>
      <c r="E375" t="inlineStr">
        <is>
          <t>GNESTA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7803-2023</t>
        </is>
      </c>
      <c r="B376" s="1" t="n">
        <v>44973</v>
      </c>
      <c r="C376" s="1" t="n">
        <v>45351</v>
      </c>
      <c r="D376" t="inlineStr">
        <is>
          <t>SÖDERMANLANDS LÄN</t>
        </is>
      </c>
      <c r="E376" t="inlineStr">
        <is>
          <t>GNESTA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8013-2023</t>
        </is>
      </c>
      <c r="B377" s="1" t="n">
        <v>44973</v>
      </c>
      <c r="C377" s="1" t="n">
        <v>45351</v>
      </c>
      <c r="D377" t="inlineStr">
        <is>
          <t>SÖDERMANLANDS LÄN</t>
        </is>
      </c>
      <c r="E377" t="inlineStr">
        <is>
          <t>GNESTA</t>
        </is>
      </c>
      <c r="G377" t="n">
        <v>10.6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8018-2023</t>
        </is>
      </c>
      <c r="B378" s="1" t="n">
        <v>44973</v>
      </c>
      <c r="C378" s="1" t="n">
        <v>45351</v>
      </c>
      <c r="D378" t="inlineStr">
        <is>
          <t>SÖDERMANLANDS LÄN</t>
        </is>
      </c>
      <c r="E378" t="inlineStr">
        <is>
          <t>GNESTA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9164-2023</t>
        </is>
      </c>
      <c r="B379" s="1" t="n">
        <v>44980</v>
      </c>
      <c r="C379" s="1" t="n">
        <v>45351</v>
      </c>
      <c r="D379" t="inlineStr">
        <is>
          <t>SÖDERMANLANDS LÄN</t>
        </is>
      </c>
      <c r="E379" t="inlineStr">
        <is>
          <t>GNESTA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9325-2023</t>
        </is>
      </c>
      <c r="B380" s="1" t="n">
        <v>44980</v>
      </c>
      <c r="C380" s="1" t="n">
        <v>45351</v>
      </c>
      <c r="D380" t="inlineStr">
        <is>
          <t>SÖDERMANLANDS LÄN</t>
        </is>
      </c>
      <c r="E380" t="inlineStr">
        <is>
          <t>GNESTA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9178-2023</t>
        </is>
      </c>
      <c r="B381" s="1" t="n">
        <v>44980</v>
      </c>
      <c r="C381" s="1" t="n">
        <v>45351</v>
      </c>
      <c r="D381" t="inlineStr">
        <is>
          <t>SÖDERMANLANDS LÄN</t>
        </is>
      </c>
      <c r="E381" t="inlineStr">
        <is>
          <t>GNESTA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11726-2023</t>
        </is>
      </c>
      <c r="B382" s="1" t="n">
        <v>44994</v>
      </c>
      <c r="C382" s="1" t="n">
        <v>45351</v>
      </c>
      <c r="D382" t="inlineStr">
        <is>
          <t>SÖDERMANLANDS LÄN</t>
        </is>
      </c>
      <c r="E382" t="inlineStr">
        <is>
          <t>GNESTA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11746-2023</t>
        </is>
      </c>
      <c r="B383" s="1" t="n">
        <v>44994</v>
      </c>
      <c r="C383" s="1" t="n">
        <v>45351</v>
      </c>
      <c r="D383" t="inlineStr">
        <is>
          <t>SÖDERMANLANDS LÄN</t>
        </is>
      </c>
      <c r="E383" t="inlineStr">
        <is>
          <t>GNESTA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12219-2023</t>
        </is>
      </c>
      <c r="B384" s="1" t="n">
        <v>44998</v>
      </c>
      <c r="C384" s="1" t="n">
        <v>45351</v>
      </c>
      <c r="D384" t="inlineStr">
        <is>
          <t>SÖDERMANLANDS LÄN</t>
        </is>
      </c>
      <c r="E384" t="inlineStr">
        <is>
          <t>GNESTA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12624-2023</t>
        </is>
      </c>
      <c r="B385" s="1" t="n">
        <v>45000</v>
      </c>
      <c r="C385" s="1" t="n">
        <v>45351</v>
      </c>
      <c r="D385" t="inlineStr">
        <is>
          <t>SÖDERMANLANDS LÄN</t>
        </is>
      </c>
      <c r="E385" t="inlineStr">
        <is>
          <t>GNESTA</t>
        </is>
      </c>
      <c r="F385" t="inlineStr">
        <is>
          <t>Allmännings- och besparingsskogar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13046-2023</t>
        </is>
      </c>
      <c r="B386" s="1" t="n">
        <v>45002</v>
      </c>
      <c r="C386" s="1" t="n">
        <v>45351</v>
      </c>
      <c r="D386" t="inlineStr">
        <is>
          <t>SÖDERMANLANDS LÄN</t>
        </is>
      </c>
      <c r="E386" t="inlineStr">
        <is>
          <t>GNESTA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13351-2023</t>
        </is>
      </c>
      <c r="B387" s="1" t="n">
        <v>45005</v>
      </c>
      <c r="C387" s="1" t="n">
        <v>45351</v>
      </c>
      <c r="D387" t="inlineStr">
        <is>
          <t>SÖDERMANLANDS LÄN</t>
        </is>
      </c>
      <c r="E387" t="inlineStr">
        <is>
          <t>GNESTA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13346-2023</t>
        </is>
      </c>
      <c r="B388" s="1" t="n">
        <v>45005</v>
      </c>
      <c r="C388" s="1" t="n">
        <v>45351</v>
      </c>
      <c r="D388" t="inlineStr">
        <is>
          <t>SÖDERMANLANDS LÄN</t>
        </is>
      </c>
      <c r="E388" t="inlineStr">
        <is>
          <t>GNESTA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14055-2023</t>
        </is>
      </c>
      <c r="B389" s="1" t="n">
        <v>45008</v>
      </c>
      <c r="C389" s="1" t="n">
        <v>45351</v>
      </c>
      <c r="D389" t="inlineStr">
        <is>
          <t>SÖDERMANLANDS LÄN</t>
        </is>
      </c>
      <c r="E389" t="inlineStr">
        <is>
          <t>GNESTA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15205-2023</t>
        </is>
      </c>
      <c r="B390" s="1" t="n">
        <v>45018</v>
      </c>
      <c r="C390" s="1" t="n">
        <v>45351</v>
      </c>
      <c r="D390" t="inlineStr">
        <is>
          <t>SÖDERMANLANDS LÄN</t>
        </is>
      </c>
      <c r="E390" t="inlineStr">
        <is>
          <t>GNESTA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17155-2023</t>
        </is>
      </c>
      <c r="B391" s="1" t="n">
        <v>45034</v>
      </c>
      <c r="C391" s="1" t="n">
        <v>45351</v>
      </c>
      <c r="D391" t="inlineStr">
        <is>
          <t>SÖDERMANLANDS LÄN</t>
        </is>
      </c>
      <c r="E391" t="inlineStr">
        <is>
          <t>GNESTA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17185-2023</t>
        </is>
      </c>
      <c r="B392" s="1" t="n">
        <v>45034</v>
      </c>
      <c r="C392" s="1" t="n">
        <v>45351</v>
      </c>
      <c r="D392" t="inlineStr">
        <is>
          <t>SÖDERMANLANDS LÄN</t>
        </is>
      </c>
      <c r="E392" t="inlineStr">
        <is>
          <t>GNESTA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17653-2023</t>
        </is>
      </c>
      <c r="B393" s="1" t="n">
        <v>45036</v>
      </c>
      <c r="C393" s="1" t="n">
        <v>45351</v>
      </c>
      <c r="D393" t="inlineStr">
        <is>
          <t>SÖDERMANLANDS LÄN</t>
        </is>
      </c>
      <c r="E393" t="inlineStr">
        <is>
          <t>GNESTA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45351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45351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45351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45351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45351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45351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45351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45351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45351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45351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45351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45351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45351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45351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45351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45351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45351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45351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45351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45351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45351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45351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45351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45351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45351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45351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45351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45351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45351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45351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45351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45351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45351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45351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45351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45351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45351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45351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45351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45351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45351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45351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45351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45351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45351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45351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45351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45351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45351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45351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45351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45351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45351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45351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45351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45351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45351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45351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45351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45351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45351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45351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45351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45351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45351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45351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45351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45351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45351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45351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45351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45351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45351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45351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45351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45351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45351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45351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45351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45351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45351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45351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61446-2023</t>
        </is>
      </c>
      <c r="B476" s="1" t="n">
        <v>45264</v>
      </c>
      <c r="C476" s="1" t="n">
        <v>45351</v>
      </c>
      <c r="D476" t="inlineStr">
        <is>
          <t>SÖDERMANLANDS LÄN</t>
        </is>
      </c>
      <c r="E476" t="inlineStr">
        <is>
          <t>GNESTA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45351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45351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45351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45351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45351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45351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62653-2023</t>
        </is>
      </c>
      <c r="B483" s="1" t="n">
        <v>45271</v>
      </c>
      <c r="C483" s="1" t="n">
        <v>45351</v>
      </c>
      <c r="D483" t="inlineStr">
        <is>
          <t>SÖDERMANLANDS LÄN</t>
        </is>
      </c>
      <c r="E483" t="inlineStr">
        <is>
          <t>GNESTA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45351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45351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45351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62883-2023</t>
        </is>
      </c>
      <c r="B487" s="1" t="n">
        <v>45272</v>
      </c>
      <c r="C487" s="1" t="n">
        <v>45351</v>
      </c>
      <c r="D487" t="inlineStr">
        <is>
          <t>SÖDERMANLANDS LÄN</t>
        </is>
      </c>
      <c r="E487" t="inlineStr">
        <is>
          <t>GNESTA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62889-2023</t>
        </is>
      </c>
      <c r="B488" s="1" t="n">
        <v>45272</v>
      </c>
      <c r="C488" s="1" t="n">
        <v>45351</v>
      </c>
      <c r="D488" t="inlineStr">
        <is>
          <t>SÖDERMANLANDS LÄN</t>
        </is>
      </c>
      <c r="E488" t="inlineStr">
        <is>
          <t>GNESTA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62967-2023</t>
        </is>
      </c>
      <c r="B489" s="1" t="n">
        <v>45272</v>
      </c>
      <c r="C489" s="1" t="n">
        <v>45351</v>
      </c>
      <c r="D489" t="inlineStr">
        <is>
          <t>SÖDERMANLANDS LÄN</t>
        </is>
      </c>
      <c r="E489" t="inlineStr">
        <is>
          <t>GNESTA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62912-2023</t>
        </is>
      </c>
      <c r="B490" s="1" t="n">
        <v>45272</v>
      </c>
      <c r="C490" s="1" t="n">
        <v>45351</v>
      </c>
      <c r="D490" t="inlineStr">
        <is>
          <t>SÖDERMANLANDS LÄN</t>
        </is>
      </c>
      <c r="E490" t="inlineStr">
        <is>
          <t>GNESTA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45351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45351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45351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45351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45351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64324-2023</t>
        </is>
      </c>
      <c r="B496" s="1" t="n">
        <v>45280</v>
      </c>
      <c r="C496" s="1" t="n">
        <v>45351</v>
      </c>
      <c r="D496" t="inlineStr">
        <is>
          <t>SÖDERMANLANDS LÄN</t>
        </is>
      </c>
      <c r="E496" t="inlineStr">
        <is>
          <t>GNESTA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45351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65000-2023</t>
        </is>
      </c>
      <c r="B498" s="1" t="n">
        <v>45286</v>
      </c>
      <c r="C498" s="1" t="n">
        <v>45351</v>
      </c>
      <c r="D498" t="inlineStr">
        <is>
          <t>SÖDERMANLANDS LÄN</t>
        </is>
      </c>
      <c r="E498" t="inlineStr">
        <is>
          <t>GNESTA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45351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45351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45351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45351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45351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45351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45351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45351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45351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45351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45351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45351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45351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45351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45351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45351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6522-2024</t>
        </is>
      </c>
      <c r="B515" s="1" t="n">
        <v>45341</v>
      </c>
      <c r="C515" s="1" t="n">
        <v>45351</v>
      </c>
      <c r="D515" t="inlineStr">
        <is>
          <t>SÖDERMANLANDS LÄN</t>
        </is>
      </c>
      <c r="E515" t="inlineStr">
        <is>
          <t>GNESTA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6536-2024</t>
        </is>
      </c>
      <c r="B516" s="1" t="n">
        <v>45341</v>
      </c>
      <c r="C516" s="1" t="n">
        <v>45351</v>
      </c>
      <c r="D516" t="inlineStr">
        <is>
          <t>SÖDERMANLANDS LÄN</t>
        </is>
      </c>
      <c r="E516" t="inlineStr">
        <is>
          <t>GNESTA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6519-2024</t>
        </is>
      </c>
      <c r="B517" s="1" t="n">
        <v>45341</v>
      </c>
      <c r="C517" s="1" t="n">
        <v>45351</v>
      </c>
      <c r="D517" t="inlineStr">
        <is>
          <t>SÖDERMANLANDS LÄN</t>
        </is>
      </c>
      <c r="E517" t="inlineStr">
        <is>
          <t>GNESTA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6521-2024</t>
        </is>
      </c>
      <c r="B518" s="1" t="n">
        <v>45341</v>
      </c>
      <c r="C518" s="1" t="n">
        <v>45351</v>
      </c>
      <c r="D518" t="inlineStr">
        <is>
          <t>SÖDERMANLANDS LÄN</t>
        </is>
      </c>
      <c r="E518" t="inlineStr">
        <is>
          <t>GNESTA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45351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45351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7423-2024</t>
        </is>
      </c>
      <c r="B521" s="1" t="n">
        <v>45345</v>
      </c>
      <c r="C521" s="1" t="n">
        <v>45351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2024-02-29T12:54:46Z</dcterms:created>
  <dcterms:modified xmlns:dcterms="http://purl.org/dc/terms/" xmlns:xsi="http://www.w3.org/2001/XMLSchema-instance" xsi:type="dcterms:W3CDTF">2024-02-29T12:54:47Z</dcterms:modified>
</cp:coreProperties>
</file>