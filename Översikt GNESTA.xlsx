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45687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45687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45687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45687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45687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45687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45687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45687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45687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45687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1888-2025</t>
        </is>
      </c>
      <c r="B12" s="1" t="n">
        <v>45671</v>
      </c>
      <c r="C12" s="1" t="n">
        <v>45687</v>
      </c>
      <c r="D12" t="inlineStr">
        <is>
          <t>SÖDERMANLANDS LÄN</t>
        </is>
      </c>
      <c r="E12" t="inlineStr">
        <is>
          <t>GNESTA</t>
        </is>
      </c>
      <c r="G12" t="n">
        <v>5.1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Motaggsvamp
Reliktbock
Blåmossa
Dropptaggsvamp
Vågbandad barkbock
Kungsfågel</t>
        </is>
      </c>
      <c r="S12">
        <f>HYPERLINK("https://klasma.github.io/Logging_0461/artfynd/A 1888-2025 artfynd.xlsx", "A 1888-2025")</f>
        <v/>
      </c>
      <c r="T12">
        <f>HYPERLINK("https://klasma.github.io/Logging_0461/kartor/A 1888-2025 karta.png", "A 1888-2025")</f>
        <v/>
      </c>
      <c r="V12">
        <f>HYPERLINK("https://klasma.github.io/Logging_0461/klagomål/A 1888-2025 FSC-klagomål.docx", "A 1888-2025")</f>
        <v/>
      </c>
      <c r="W12">
        <f>HYPERLINK("https://klasma.github.io/Logging_0461/klagomålsmail/A 1888-2025 FSC-klagomål mail.docx", "A 1888-2025")</f>
        <v/>
      </c>
      <c r="X12">
        <f>HYPERLINK("https://klasma.github.io/Logging_0461/tillsyn/A 1888-2025 tillsynsbegäran.docx", "A 1888-2025")</f>
        <v/>
      </c>
      <c r="Y12">
        <f>HYPERLINK("https://klasma.github.io/Logging_0461/tillsynsmail/A 1888-2025 tillsynsbegäran mail.docx", "A 1888-2025")</f>
        <v/>
      </c>
      <c r="Z12">
        <f>HYPERLINK("https://klasma.github.io/Logging_0461/fåglar/A 1888-2025 prioriterade fågelarter.docx", "A 1888-2025")</f>
        <v/>
      </c>
    </row>
    <row r="13" ht="15" customHeight="1">
      <c r="A13" t="inlineStr">
        <is>
          <t>A 64324-2023</t>
        </is>
      </c>
      <c r="B13" s="1" t="n">
        <v>45280</v>
      </c>
      <c r="C13" s="1" t="n">
        <v>45687</v>
      </c>
      <c r="D13" t="inlineStr">
        <is>
          <t>SÖDERMANLANDS LÄN</t>
        </is>
      </c>
      <c r="E13" t="inlineStr">
        <is>
          <t>GNESTA</t>
        </is>
      </c>
      <c r="G13" t="n">
        <v>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Ullticka
Grön sköldmossa
Grönpyrola
Stubbspretmossa</t>
        </is>
      </c>
      <c r="S13">
        <f>HYPERLINK("https://klasma.github.io/Logging_0461/artfynd/A 64324-2023 artfynd.xlsx", "A 64324-2023")</f>
        <v/>
      </c>
      <c r="T13">
        <f>HYPERLINK("https://klasma.github.io/Logging_0461/kartor/A 64324-2023 karta.png", "A 64324-2023")</f>
        <v/>
      </c>
      <c r="V13">
        <f>HYPERLINK("https://klasma.github.io/Logging_0461/klagomål/A 64324-2023 FSC-klagomål.docx", "A 64324-2023")</f>
        <v/>
      </c>
      <c r="W13">
        <f>HYPERLINK("https://klasma.github.io/Logging_0461/klagomålsmail/A 64324-2023 FSC-klagomål mail.docx", "A 64324-2023")</f>
        <v/>
      </c>
      <c r="X13">
        <f>HYPERLINK("https://klasma.github.io/Logging_0461/tillsyn/A 64324-2023 tillsynsbegäran.docx", "A 64324-2023")</f>
        <v/>
      </c>
      <c r="Y13">
        <f>HYPERLINK("https://klasma.github.io/Logging_0461/tillsynsmail/A 64324-2023 tillsynsbegäran mail.docx", "A 64324-2023")</f>
        <v/>
      </c>
    </row>
    <row r="14" ht="15" customHeight="1">
      <c r="A14" t="inlineStr">
        <is>
          <t>A 29986-2024</t>
        </is>
      </c>
      <c r="B14" s="1" t="n">
        <v>45488</v>
      </c>
      <c r="C14" s="1" t="n">
        <v>45687</v>
      </c>
      <c r="D14" t="inlineStr">
        <is>
          <t>SÖDERMANLANDS LÄN</t>
        </is>
      </c>
      <c r="E14" t="inlineStr">
        <is>
          <t>GNESTA</t>
        </is>
      </c>
      <c r="G14" t="n">
        <v>4.3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Tallticka
Grovticka</t>
        </is>
      </c>
      <c r="S14">
        <f>HYPERLINK("https://klasma.github.io/Logging_0461/artfynd/A 29986-2024 artfynd.xlsx", "A 29986-2024")</f>
        <v/>
      </c>
      <c r="T14">
        <f>HYPERLINK("https://klasma.github.io/Logging_0461/kartor/A 29986-2024 karta.png", "A 29986-2024")</f>
        <v/>
      </c>
      <c r="U14">
        <f>HYPERLINK("https://klasma.github.io/Logging_0461/knärot/A 29986-2024 karta knärot.png", "A 29986-2024")</f>
        <v/>
      </c>
      <c r="V14">
        <f>HYPERLINK("https://klasma.github.io/Logging_0461/klagomål/A 29986-2024 FSC-klagomål.docx", "A 29986-2024")</f>
        <v/>
      </c>
      <c r="W14">
        <f>HYPERLINK("https://klasma.github.io/Logging_0461/klagomålsmail/A 29986-2024 FSC-klagomål mail.docx", "A 29986-2024")</f>
        <v/>
      </c>
      <c r="X14">
        <f>HYPERLINK("https://klasma.github.io/Logging_0461/tillsyn/A 29986-2024 tillsynsbegäran.docx", "A 29986-2024")</f>
        <v/>
      </c>
      <c r="Y14">
        <f>HYPERLINK("https://klasma.github.io/Logging_0461/tillsynsmail/A 29986-2024 tillsynsbegäran mail.docx", "A 29986-2024")</f>
        <v/>
      </c>
      <c r="Z14">
        <f>HYPERLINK("https://klasma.github.io/Logging_0461/fåglar/A 29986-2024 prioriterade fågelarter.docx", "A 29986-2024")</f>
        <v/>
      </c>
    </row>
    <row r="15" ht="15" customHeight="1">
      <c r="A15" t="inlineStr">
        <is>
          <t>A 35740-2024</t>
        </is>
      </c>
      <c r="B15" s="1" t="n">
        <v>45532</v>
      </c>
      <c r="C15" s="1" t="n">
        <v>45687</v>
      </c>
      <c r="D15" t="inlineStr">
        <is>
          <t>SÖDERMANLANDS LÄN</t>
        </is>
      </c>
      <c r="E15" t="inlineStr">
        <is>
          <t>GNESTA</t>
        </is>
      </c>
      <c r="G15" t="n">
        <v>4.1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Kandelabersvamp
Fällmossa
Kruskantarell
Blåsippa</t>
        </is>
      </c>
      <c r="S15">
        <f>HYPERLINK("https://klasma.github.io/Logging_0461/artfynd/A 35740-2024 artfynd.xlsx", "A 35740-2024")</f>
        <v/>
      </c>
      <c r="T15">
        <f>HYPERLINK("https://klasma.github.io/Logging_0461/kartor/A 35740-2024 karta.png", "A 35740-2024")</f>
        <v/>
      </c>
      <c r="V15">
        <f>HYPERLINK("https://klasma.github.io/Logging_0461/klagomål/A 35740-2024 FSC-klagomål.docx", "A 35740-2024")</f>
        <v/>
      </c>
      <c r="W15">
        <f>HYPERLINK("https://klasma.github.io/Logging_0461/klagomålsmail/A 35740-2024 FSC-klagomål mail.docx", "A 35740-2024")</f>
        <v/>
      </c>
      <c r="X15">
        <f>HYPERLINK("https://klasma.github.io/Logging_0461/tillsyn/A 35740-2024 tillsynsbegäran.docx", "A 35740-2024")</f>
        <v/>
      </c>
      <c r="Y15">
        <f>HYPERLINK("https://klasma.github.io/Logging_0461/tillsynsmail/A 35740-2024 tillsynsbegäran mail.docx", "A 35740-2024")</f>
        <v/>
      </c>
    </row>
    <row r="16" ht="15" customHeight="1">
      <c r="A16" t="inlineStr">
        <is>
          <t>A 43282-2024</t>
        </is>
      </c>
      <c r="B16" s="1" t="n">
        <v>45568</v>
      </c>
      <c r="C16" s="1" t="n">
        <v>45687</v>
      </c>
      <c r="D16" t="inlineStr">
        <is>
          <t>SÖDERMANLANDS LÄN</t>
        </is>
      </c>
      <c r="E16" t="inlineStr">
        <is>
          <t>GNESTA</t>
        </is>
      </c>
      <c r="F16" t="inlineStr">
        <is>
          <t>Holmen skog AB</t>
        </is>
      </c>
      <c r="G16" t="n">
        <v>11.4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Motaggsvamp
Svart taggsvamp
Svartvit taggsvamp
Dropptaggsvamp</t>
        </is>
      </c>
      <c r="S16">
        <f>HYPERLINK("https://klasma.github.io/Logging_0461/artfynd/A 43282-2024 artfynd.xlsx", "A 43282-2024")</f>
        <v/>
      </c>
      <c r="T16">
        <f>HYPERLINK("https://klasma.github.io/Logging_0461/kartor/A 43282-2024 karta.png", "A 43282-2024")</f>
        <v/>
      </c>
      <c r="V16">
        <f>HYPERLINK("https://klasma.github.io/Logging_0461/klagomål/A 43282-2024 FSC-klagomål.docx", "A 43282-2024")</f>
        <v/>
      </c>
      <c r="W16">
        <f>HYPERLINK("https://klasma.github.io/Logging_0461/klagomålsmail/A 43282-2024 FSC-klagomål mail.docx", "A 43282-2024")</f>
        <v/>
      </c>
      <c r="X16">
        <f>HYPERLINK("https://klasma.github.io/Logging_0461/tillsyn/A 43282-2024 tillsynsbegäran.docx", "A 43282-2024")</f>
        <v/>
      </c>
      <c r="Y16">
        <f>HYPERLINK("https://klasma.github.io/Logging_0461/tillsynsmail/A 43282-2024 tillsynsbegäran mail.docx", "A 43282-2024")</f>
        <v/>
      </c>
    </row>
    <row r="17" ht="15" customHeight="1">
      <c r="A17" t="inlineStr">
        <is>
          <t>A 20402-2020</t>
        </is>
      </c>
      <c r="B17" s="1" t="n">
        <v>43945</v>
      </c>
      <c r="C17" s="1" t="n">
        <v>45687</v>
      </c>
      <c r="D17" t="inlineStr">
        <is>
          <t>SÖDERMANLANDS LÄN</t>
        </is>
      </c>
      <c r="E17" t="inlineStr">
        <is>
          <t>GNESTA</t>
        </is>
      </c>
      <c r="G17" t="n">
        <v>2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Strutbräken
Sårläka</t>
        </is>
      </c>
      <c r="S17">
        <f>HYPERLINK("https://klasma.github.io/Logging_0461/artfynd/A 20402-2020 artfynd.xlsx", "A 20402-2020")</f>
        <v/>
      </c>
      <c r="T17">
        <f>HYPERLINK("https://klasma.github.io/Logging_0461/kartor/A 20402-2020 karta.png", "A 20402-2020")</f>
        <v/>
      </c>
      <c r="V17">
        <f>HYPERLINK("https://klasma.github.io/Logging_0461/klagomål/A 20402-2020 FSC-klagomål.docx", "A 20402-2020")</f>
        <v/>
      </c>
      <c r="W17">
        <f>HYPERLINK("https://klasma.github.io/Logging_0461/klagomålsmail/A 20402-2020 FSC-klagomål mail.docx", "A 20402-2020")</f>
        <v/>
      </c>
      <c r="X17">
        <f>HYPERLINK("https://klasma.github.io/Logging_0461/tillsyn/A 20402-2020 tillsynsbegäran.docx", "A 20402-2020")</f>
        <v/>
      </c>
      <c r="Y17">
        <f>HYPERLINK("https://klasma.github.io/Logging_0461/tillsynsmail/A 20402-2020 tillsynsbegäran mail.docx", "A 20402-2020")</f>
        <v/>
      </c>
    </row>
    <row r="18" ht="15" customHeight="1">
      <c r="A18" t="inlineStr">
        <is>
          <t>A 52828-2020</t>
        </is>
      </c>
      <c r="B18" s="1" t="n">
        <v>44119</v>
      </c>
      <c r="C18" s="1" t="n">
        <v>45687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Havsörn
Hornuggla
Pärluggla</t>
        </is>
      </c>
      <c r="S18">
        <f>HYPERLINK("https://klasma.github.io/Logging_0461/artfynd/A 52828-2020 artfynd.xlsx", "A 52828-2020")</f>
        <v/>
      </c>
      <c r="T18">
        <f>HYPERLINK("https://klasma.github.io/Logging_0461/kartor/A 52828-2020 karta.png", "A 52828-2020")</f>
        <v/>
      </c>
      <c r="V18">
        <f>HYPERLINK("https://klasma.github.io/Logging_0461/klagomål/A 52828-2020 FSC-klagomål.docx", "A 52828-2020")</f>
        <v/>
      </c>
      <c r="W18">
        <f>HYPERLINK("https://klasma.github.io/Logging_0461/klagomålsmail/A 52828-2020 FSC-klagomål mail.docx", "A 52828-2020")</f>
        <v/>
      </c>
      <c r="X18">
        <f>HYPERLINK("https://klasma.github.io/Logging_0461/tillsyn/A 52828-2020 tillsynsbegäran.docx", "A 52828-2020")</f>
        <v/>
      </c>
      <c r="Y18">
        <f>HYPERLINK("https://klasma.github.io/Logging_0461/tillsynsmail/A 52828-2020 tillsynsbegäran mail.docx", "A 52828-2020")</f>
        <v/>
      </c>
      <c r="Z18">
        <f>HYPERLINK("https://klasma.github.io/Logging_0461/fåglar/A 52828-2020 prioriterade fågelarter.docx", "A 52828-2020")</f>
        <v/>
      </c>
    </row>
    <row r="19" ht="15" customHeight="1">
      <c r="A19" t="inlineStr">
        <is>
          <t>A 22906-2021</t>
        </is>
      </c>
      <c r="B19" s="1" t="n">
        <v>44328</v>
      </c>
      <c r="C19" s="1" t="n">
        <v>45687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Gröngöling
Blåsippa</t>
        </is>
      </c>
      <c r="S19">
        <f>HYPERLINK("https://klasma.github.io/Logging_0461/artfynd/A 22906-2021 artfynd.xlsx", "A 22906-2021")</f>
        <v/>
      </c>
      <c r="T19">
        <f>HYPERLINK("https://klasma.github.io/Logging_0461/kartor/A 22906-2021 karta.png", "A 22906-2021")</f>
        <v/>
      </c>
      <c r="V19">
        <f>HYPERLINK("https://klasma.github.io/Logging_0461/klagomål/A 22906-2021 FSC-klagomål.docx", "A 22906-2021")</f>
        <v/>
      </c>
      <c r="W19">
        <f>HYPERLINK("https://klasma.github.io/Logging_0461/klagomålsmail/A 22906-2021 FSC-klagomål mail.docx", "A 22906-2021")</f>
        <v/>
      </c>
      <c r="X19">
        <f>HYPERLINK("https://klasma.github.io/Logging_0461/tillsyn/A 22906-2021 tillsynsbegäran.docx", "A 22906-2021")</f>
        <v/>
      </c>
      <c r="Y19">
        <f>HYPERLINK("https://klasma.github.io/Logging_0461/tillsynsmail/A 22906-2021 tillsynsbegäran mail.docx", "A 22906-2021")</f>
        <v/>
      </c>
      <c r="Z19">
        <f>HYPERLINK("https://klasma.github.io/Logging_0461/fåglar/A 22906-2021 prioriterade fågelarter.docx", "A 22906-2021")</f>
        <v/>
      </c>
    </row>
    <row r="20" ht="15" customHeight="1">
      <c r="A20" t="inlineStr">
        <is>
          <t>A 20124-2022</t>
        </is>
      </c>
      <c r="B20" s="1" t="n">
        <v>44698</v>
      </c>
      <c r="C20" s="1" t="n">
        <v>45687</v>
      </c>
      <c r="D20" t="inlineStr">
        <is>
          <t>SÖDERMANLANDS LÄN</t>
        </is>
      </c>
      <c r="E20" t="inlineStr">
        <is>
          <t>GNESTA</t>
        </is>
      </c>
      <c r="G20" t="n">
        <v>6.2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Orange taggsvamp
Skogshare
Tallticka</t>
        </is>
      </c>
      <c r="S20">
        <f>HYPERLINK("https://klasma.github.io/Logging_0461/artfynd/A 20124-2022 artfynd.xlsx", "A 20124-2022")</f>
        <v/>
      </c>
      <c r="T20">
        <f>HYPERLINK("https://klasma.github.io/Logging_0461/kartor/A 20124-2022 karta.png", "A 20124-2022")</f>
        <v/>
      </c>
      <c r="V20">
        <f>HYPERLINK("https://klasma.github.io/Logging_0461/klagomål/A 20124-2022 FSC-klagomål.docx", "A 20124-2022")</f>
        <v/>
      </c>
      <c r="W20">
        <f>HYPERLINK("https://klasma.github.io/Logging_0461/klagomålsmail/A 20124-2022 FSC-klagomål mail.docx", "A 20124-2022")</f>
        <v/>
      </c>
      <c r="X20">
        <f>HYPERLINK("https://klasma.github.io/Logging_0461/tillsyn/A 20124-2022 tillsynsbegäran.docx", "A 20124-2022")</f>
        <v/>
      </c>
      <c r="Y20">
        <f>HYPERLINK("https://klasma.github.io/Logging_0461/tillsynsmail/A 20124-2022 tillsynsbegäran mail.docx", "A 20124-2022")</f>
        <v/>
      </c>
    </row>
    <row r="21" ht="15" customHeight="1">
      <c r="A21" t="inlineStr">
        <is>
          <t>A 60448-2024</t>
        </is>
      </c>
      <c r="B21" s="1" t="n">
        <v>45643</v>
      </c>
      <c r="C21" s="1" t="n">
        <v>45687</v>
      </c>
      <c r="D21" t="inlineStr">
        <is>
          <t>SÖDERMANLANDS LÄN</t>
        </is>
      </c>
      <c r="E21" t="inlineStr">
        <is>
          <t>GNESTA</t>
        </is>
      </c>
      <c r="G21" t="n">
        <v>1.8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Slåtterfibbla
Tibast
Blåsippa</t>
        </is>
      </c>
      <c r="S21">
        <f>HYPERLINK("https://klasma.github.io/Logging_0461/artfynd/A 60448-2024 artfynd.xlsx", "A 60448-2024")</f>
        <v/>
      </c>
      <c r="T21">
        <f>HYPERLINK("https://klasma.github.io/Logging_0461/kartor/A 60448-2024 karta.png", "A 60448-2024")</f>
        <v/>
      </c>
      <c r="V21">
        <f>HYPERLINK("https://klasma.github.io/Logging_0461/klagomål/A 60448-2024 FSC-klagomål.docx", "A 60448-2024")</f>
        <v/>
      </c>
      <c r="W21">
        <f>HYPERLINK("https://klasma.github.io/Logging_0461/klagomålsmail/A 60448-2024 FSC-klagomål mail.docx", "A 60448-2024")</f>
        <v/>
      </c>
      <c r="X21">
        <f>HYPERLINK("https://klasma.github.io/Logging_0461/tillsyn/A 60448-2024 tillsynsbegäran.docx", "A 60448-2024")</f>
        <v/>
      </c>
      <c r="Y21">
        <f>HYPERLINK("https://klasma.github.io/Logging_0461/tillsynsmail/A 60448-2024 tillsynsbegäran mail.docx", "A 60448-2024")</f>
        <v/>
      </c>
    </row>
    <row r="22" ht="15" customHeight="1">
      <c r="A22" t="inlineStr">
        <is>
          <t>A 37714-2019</t>
        </is>
      </c>
      <c r="B22" s="1" t="n">
        <v>43682</v>
      </c>
      <c r="C22" s="1" t="n">
        <v>45687</v>
      </c>
      <c r="D22" t="inlineStr">
        <is>
          <t>SÖDERMANLANDS LÄN</t>
        </is>
      </c>
      <c r="E22" t="inlineStr">
        <is>
          <t>GNESTA</t>
        </is>
      </c>
      <c r="G22" t="n">
        <v>7.5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Revlummer
Äkta lopplummer</t>
        </is>
      </c>
      <c r="S22">
        <f>HYPERLINK("https://klasma.github.io/Logging_0461/artfynd/A 37714-2019 artfynd.xlsx", "A 37714-2019")</f>
        <v/>
      </c>
      <c r="T22">
        <f>HYPERLINK("https://klasma.github.io/Logging_0461/kartor/A 37714-2019 karta.png", "A 37714-2019")</f>
        <v/>
      </c>
      <c r="V22">
        <f>HYPERLINK("https://klasma.github.io/Logging_0461/klagomål/A 37714-2019 FSC-klagomål.docx", "A 37714-2019")</f>
        <v/>
      </c>
      <c r="W22">
        <f>HYPERLINK("https://klasma.github.io/Logging_0461/klagomålsmail/A 37714-2019 FSC-klagomål mail.docx", "A 37714-2019")</f>
        <v/>
      </c>
      <c r="X22">
        <f>HYPERLINK("https://klasma.github.io/Logging_0461/tillsyn/A 37714-2019 tillsynsbegäran.docx", "A 37714-2019")</f>
        <v/>
      </c>
      <c r="Y22">
        <f>HYPERLINK("https://klasma.github.io/Logging_0461/tillsynsmail/A 37714-2019 tillsynsbegäran mail.docx", "A 37714-2019")</f>
        <v/>
      </c>
    </row>
    <row r="23" ht="15" customHeight="1">
      <c r="A23" t="inlineStr">
        <is>
          <t>A 12232-2023</t>
        </is>
      </c>
      <c r="B23" s="1" t="n">
        <v>44998</v>
      </c>
      <c r="C23" s="1" t="n">
        <v>45687</v>
      </c>
      <c r="D23" t="inlineStr">
        <is>
          <t>SÖDERMANLANDS LÄN</t>
        </is>
      </c>
      <c r="E23" t="inlineStr">
        <is>
          <t>GNESTA</t>
        </is>
      </c>
      <c r="G23" t="n">
        <v>1.4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HYPERLINK("https://klasma.github.io/Logging_0461/artfynd/A 12232-2023 artfynd.xlsx", "A 12232-2023")</f>
        <v/>
      </c>
      <c r="T23">
        <f>HYPERLINK("https://klasma.github.io/Logging_0461/kartor/A 12232-2023 karta.png", "A 12232-2023")</f>
        <v/>
      </c>
      <c r="V23">
        <f>HYPERLINK("https://klasma.github.io/Logging_0461/klagomål/A 12232-2023 FSC-klagomål.docx", "A 12232-2023")</f>
        <v/>
      </c>
      <c r="W23">
        <f>HYPERLINK("https://klasma.github.io/Logging_0461/klagomålsmail/A 12232-2023 FSC-klagomål mail.docx", "A 12232-2023")</f>
        <v/>
      </c>
      <c r="X23">
        <f>HYPERLINK("https://klasma.github.io/Logging_0461/tillsyn/A 12232-2023 tillsynsbegäran.docx", "A 12232-2023")</f>
        <v/>
      </c>
      <c r="Y23">
        <f>HYPERLINK("https://klasma.github.io/Logging_0461/tillsynsmail/A 12232-2023 tillsynsbegäran mail.docx", "A 12232-2023")</f>
        <v/>
      </c>
    </row>
    <row r="24" ht="15" customHeight="1">
      <c r="A24" t="inlineStr">
        <is>
          <t>A 63736-2023</t>
        </is>
      </c>
      <c r="B24" s="1" t="n">
        <v>45277</v>
      </c>
      <c r="C24" s="1" t="n">
        <v>45687</v>
      </c>
      <c r="D24" t="inlineStr">
        <is>
          <t>SÖDERMANLANDS LÄN</t>
        </is>
      </c>
      <c r="E24" t="inlineStr">
        <is>
          <t>GNESTA</t>
        </is>
      </c>
      <c r="G24" t="n">
        <v>5.2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Kopparödla</t>
        </is>
      </c>
      <c r="S24">
        <f>HYPERLINK("https://klasma.github.io/Logging_0461/artfynd/A 63736-2023 artfynd.xlsx", "A 63736-2023")</f>
        <v/>
      </c>
      <c r="T24">
        <f>HYPERLINK("https://klasma.github.io/Logging_0461/kartor/A 63736-2023 karta.png", "A 63736-2023")</f>
        <v/>
      </c>
      <c r="V24">
        <f>HYPERLINK("https://klasma.github.io/Logging_0461/klagomål/A 63736-2023 FSC-klagomål.docx", "A 63736-2023")</f>
        <v/>
      </c>
      <c r="W24">
        <f>HYPERLINK("https://klasma.github.io/Logging_0461/klagomålsmail/A 63736-2023 FSC-klagomål mail.docx", "A 63736-2023")</f>
        <v/>
      </c>
      <c r="X24">
        <f>HYPERLINK("https://klasma.github.io/Logging_0461/tillsyn/A 63736-2023 tillsynsbegäran.docx", "A 63736-2023")</f>
        <v/>
      </c>
      <c r="Y24">
        <f>HYPERLINK("https://klasma.github.io/Logging_0461/tillsynsmail/A 63736-2023 tillsynsbegäran mail.docx", "A 63736-2023")</f>
        <v/>
      </c>
    </row>
    <row r="25" ht="15" customHeight="1">
      <c r="A25" t="inlineStr">
        <is>
          <t>A 6539-2024</t>
        </is>
      </c>
      <c r="B25" s="1" t="n">
        <v>45341</v>
      </c>
      <c r="C25" s="1" t="n">
        <v>45687</v>
      </c>
      <c r="D25" t="inlineStr">
        <is>
          <t>SÖDERMANLANDS LÄN</t>
        </is>
      </c>
      <c r="E25" t="inlineStr">
        <is>
          <t>GNESTA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HYPERLINK("https://klasma.github.io/Logging_0461/artfynd/A 6539-2024 artfynd.xlsx", "A 6539-2024")</f>
        <v/>
      </c>
      <c r="T25">
        <f>HYPERLINK("https://klasma.github.io/Logging_0461/kartor/A 6539-2024 karta.png", "A 6539-2024")</f>
        <v/>
      </c>
      <c r="V25">
        <f>HYPERLINK("https://klasma.github.io/Logging_0461/klagomål/A 6539-2024 FSC-klagomål.docx", "A 6539-2024")</f>
        <v/>
      </c>
      <c r="W25">
        <f>HYPERLINK("https://klasma.github.io/Logging_0461/klagomålsmail/A 6539-2024 FSC-klagomål mail.docx", "A 6539-2024")</f>
        <v/>
      </c>
      <c r="X25">
        <f>HYPERLINK("https://klasma.github.io/Logging_0461/tillsyn/A 6539-2024 tillsynsbegäran.docx", "A 6539-2024")</f>
        <v/>
      </c>
      <c r="Y25">
        <f>HYPERLINK("https://klasma.github.io/Logging_0461/tillsynsmail/A 6539-2024 tillsynsbegäran mail.docx", "A 6539-2024")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45687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45687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45687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45687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45577-2019</t>
        </is>
      </c>
      <c r="B30" s="1" t="n">
        <v>43716</v>
      </c>
      <c r="C30" s="1" t="n">
        <v>45687</v>
      </c>
      <c r="D30" t="inlineStr">
        <is>
          <t>SÖDERMANLANDS LÄN</t>
        </is>
      </c>
      <c r="E30" t="inlineStr">
        <is>
          <t>GNESTA</t>
        </is>
      </c>
      <c r="G30" t="n">
        <v>1.4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Svedjenäva</t>
        </is>
      </c>
      <c r="S30">
        <f>HYPERLINK("https://klasma.github.io/Logging_0461/artfynd/A 45577-2019 artfynd.xlsx", "A 45577-2019")</f>
        <v/>
      </c>
      <c r="T30">
        <f>HYPERLINK("https://klasma.github.io/Logging_0461/kartor/A 45577-2019 karta.png", "A 45577-2019")</f>
        <v/>
      </c>
      <c r="V30">
        <f>HYPERLINK("https://klasma.github.io/Logging_0461/klagomål/A 45577-2019 FSC-klagomål.docx", "A 45577-2019")</f>
        <v/>
      </c>
      <c r="W30">
        <f>HYPERLINK("https://klasma.github.io/Logging_0461/klagomålsmail/A 45577-2019 FSC-klagomål mail.docx", "A 45577-2019")</f>
        <v/>
      </c>
      <c r="X30">
        <f>HYPERLINK("https://klasma.github.io/Logging_0461/tillsyn/A 45577-2019 tillsynsbegäran.docx", "A 45577-2019")</f>
        <v/>
      </c>
      <c r="Y30">
        <f>HYPERLINK("https://klasma.github.io/Logging_0461/tillsynsmail/A 45577-2019 tillsynsbegäran mail.docx", "A 45577-2019")</f>
        <v/>
      </c>
    </row>
    <row r="31" ht="15" customHeight="1">
      <c r="A31" t="inlineStr">
        <is>
          <t>A 51437-2019</t>
        </is>
      </c>
      <c r="B31" s="1" t="n">
        <v>43740</v>
      </c>
      <c r="C31" s="1" t="n">
        <v>45687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51437-2019 artfynd.xlsx", "A 51437-2019")</f>
        <v/>
      </c>
      <c r="T31">
        <f>HYPERLINK("https://klasma.github.io/Logging_0461/kartor/A 51437-2019 karta.png", "A 51437-2019")</f>
        <v/>
      </c>
      <c r="V31">
        <f>HYPERLINK("https://klasma.github.io/Logging_0461/klagomål/A 51437-2019 FSC-klagomål.docx", "A 51437-2019")</f>
        <v/>
      </c>
      <c r="W31">
        <f>HYPERLINK("https://klasma.github.io/Logging_0461/klagomålsmail/A 51437-2019 FSC-klagomål mail.docx", "A 51437-2019")</f>
        <v/>
      </c>
      <c r="X31">
        <f>HYPERLINK("https://klasma.github.io/Logging_0461/tillsyn/A 51437-2019 tillsynsbegäran.docx", "A 51437-2019")</f>
        <v/>
      </c>
      <c r="Y31">
        <f>HYPERLINK("https://klasma.github.io/Logging_0461/tillsynsmail/A 51437-2019 tillsynsbegäran mail.docx", "A 51437-2019")</f>
        <v/>
      </c>
    </row>
    <row r="32" ht="15" customHeight="1">
      <c r="A32" t="inlineStr">
        <is>
          <t>A 13747-2020</t>
        </is>
      </c>
      <c r="B32" s="1" t="n">
        <v>43896</v>
      </c>
      <c r="C32" s="1" t="n">
        <v>45687</v>
      </c>
      <c r="D32" t="inlineStr">
        <is>
          <t>SÖDERMANLANDS LÄN</t>
        </is>
      </c>
      <c r="E32" t="inlineStr">
        <is>
          <t>GNESTA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13747-2020 artfynd.xlsx", "A 13747-2020")</f>
        <v/>
      </c>
      <c r="T32">
        <f>HYPERLINK("https://klasma.github.io/Logging_0461/kartor/A 13747-2020 karta.png", "A 13747-2020")</f>
        <v/>
      </c>
      <c r="V32">
        <f>HYPERLINK("https://klasma.github.io/Logging_0461/klagomål/A 13747-2020 FSC-klagomål.docx", "A 13747-2020")</f>
        <v/>
      </c>
      <c r="W32">
        <f>HYPERLINK("https://klasma.github.io/Logging_0461/klagomålsmail/A 13747-2020 FSC-klagomål mail.docx", "A 13747-2020")</f>
        <v/>
      </c>
      <c r="X32">
        <f>HYPERLINK("https://klasma.github.io/Logging_0461/tillsyn/A 13747-2020 tillsynsbegäran.docx", "A 13747-2020")</f>
        <v/>
      </c>
      <c r="Y32">
        <f>HYPERLINK("https://klasma.github.io/Logging_0461/tillsynsmail/A 13747-2020 tillsynsbegäran mail.docx", "A 13747-2020")</f>
        <v/>
      </c>
    </row>
    <row r="33" ht="15" customHeight="1">
      <c r="A33" t="inlineStr">
        <is>
          <t>A 51080-2020</t>
        </is>
      </c>
      <c r="B33" s="1" t="n">
        <v>44112</v>
      </c>
      <c r="C33" s="1" t="n">
        <v>45687</v>
      </c>
      <c r="D33" t="inlineStr">
        <is>
          <t>SÖDERMANLANDS LÄN</t>
        </is>
      </c>
      <c r="E33" t="inlineStr">
        <is>
          <t>GNESTA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HYPERLINK("https://klasma.github.io/Logging_0461/artfynd/A 51080-2020 artfynd.xlsx", "A 51080-2020")</f>
        <v/>
      </c>
      <c r="T33">
        <f>HYPERLINK("https://klasma.github.io/Logging_0461/kartor/A 51080-2020 karta.png", "A 51080-2020")</f>
        <v/>
      </c>
      <c r="V33">
        <f>HYPERLINK("https://klasma.github.io/Logging_0461/klagomål/A 51080-2020 FSC-klagomål.docx", "A 51080-2020")</f>
        <v/>
      </c>
      <c r="W33">
        <f>HYPERLINK("https://klasma.github.io/Logging_0461/klagomålsmail/A 51080-2020 FSC-klagomål mail.docx", "A 51080-2020")</f>
        <v/>
      </c>
      <c r="X33">
        <f>HYPERLINK("https://klasma.github.io/Logging_0461/tillsyn/A 51080-2020 tillsynsbegäran.docx", "A 51080-2020")</f>
        <v/>
      </c>
      <c r="Y33">
        <f>HYPERLINK("https://klasma.github.io/Logging_0461/tillsynsmail/A 51080-2020 tillsynsbegäran mail.docx", "A 51080-2020")</f>
        <v/>
      </c>
    </row>
    <row r="34" ht="15" customHeight="1">
      <c r="A34" t="inlineStr">
        <is>
          <t>A 11150-2021</t>
        </is>
      </c>
      <c r="B34" s="1" t="n">
        <v>44261</v>
      </c>
      <c r="C34" s="1" t="n">
        <v>45687</v>
      </c>
      <c r="D34" t="inlineStr">
        <is>
          <t>SÖDERMANLANDS LÄN</t>
        </is>
      </c>
      <c r="E34" t="inlineStr">
        <is>
          <t>GNESTA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11150-2021 artfynd.xlsx", "A 11150-2021")</f>
        <v/>
      </c>
      <c r="T34">
        <f>HYPERLINK("https://klasma.github.io/Logging_0461/kartor/A 11150-2021 karta.png", "A 11150-2021")</f>
        <v/>
      </c>
      <c r="V34">
        <f>HYPERLINK("https://klasma.github.io/Logging_0461/klagomål/A 11150-2021 FSC-klagomål.docx", "A 11150-2021")</f>
        <v/>
      </c>
      <c r="W34">
        <f>HYPERLINK("https://klasma.github.io/Logging_0461/klagomålsmail/A 11150-2021 FSC-klagomål mail.docx", "A 11150-2021")</f>
        <v/>
      </c>
      <c r="X34">
        <f>HYPERLINK("https://klasma.github.io/Logging_0461/tillsyn/A 11150-2021 tillsynsbegäran.docx", "A 11150-2021")</f>
        <v/>
      </c>
      <c r="Y34">
        <f>HYPERLINK("https://klasma.github.io/Logging_0461/tillsynsmail/A 11150-2021 tillsynsbegäran mail.docx", "A 11150-2021")</f>
        <v/>
      </c>
    </row>
    <row r="35" ht="15" customHeight="1">
      <c r="A35" t="inlineStr">
        <is>
          <t>A 16826-2021</t>
        </is>
      </c>
      <c r="B35" s="1" t="n">
        <v>44295</v>
      </c>
      <c r="C35" s="1" t="n">
        <v>45687</v>
      </c>
      <c r="D35" t="inlineStr">
        <is>
          <t>SÖDERMANLANDS LÄN</t>
        </is>
      </c>
      <c r="E35" t="inlineStr">
        <is>
          <t>GNESTA</t>
        </is>
      </c>
      <c r="G35" t="n">
        <v>13.9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HYPERLINK("https://klasma.github.io/Logging_0461/artfynd/A 16826-2021 artfynd.xlsx", "A 16826-2021")</f>
        <v/>
      </c>
      <c r="T35">
        <f>HYPERLINK("https://klasma.github.io/Logging_0461/kartor/A 16826-2021 karta.png", "A 16826-2021")</f>
        <v/>
      </c>
      <c r="V35">
        <f>HYPERLINK("https://klasma.github.io/Logging_0461/klagomål/A 16826-2021 FSC-klagomål.docx", "A 16826-2021")</f>
        <v/>
      </c>
      <c r="W35">
        <f>HYPERLINK("https://klasma.github.io/Logging_0461/klagomålsmail/A 16826-2021 FSC-klagomål mail.docx", "A 16826-2021")</f>
        <v/>
      </c>
      <c r="X35">
        <f>HYPERLINK("https://klasma.github.io/Logging_0461/tillsyn/A 16826-2021 tillsynsbegäran.docx", "A 16826-2021")</f>
        <v/>
      </c>
      <c r="Y35">
        <f>HYPERLINK("https://klasma.github.io/Logging_0461/tillsynsmail/A 16826-2021 tillsynsbegäran mail.docx", "A 16826-2021")</f>
        <v/>
      </c>
    </row>
    <row r="36" ht="15" customHeight="1">
      <c r="A36" t="inlineStr">
        <is>
          <t>A 22712-2021</t>
        </is>
      </c>
      <c r="B36" s="1" t="n">
        <v>44327</v>
      </c>
      <c r="C36" s="1" t="n">
        <v>45687</v>
      </c>
      <c r="D36" t="inlineStr">
        <is>
          <t>SÖDERMANLANDS LÄN</t>
        </is>
      </c>
      <c r="E36" t="inlineStr">
        <is>
          <t>GNESTA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22712-2021 artfynd.xlsx", "A 22712-2021")</f>
        <v/>
      </c>
      <c r="T36">
        <f>HYPERLINK("https://klasma.github.io/Logging_0461/kartor/A 22712-2021 karta.png", "A 22712-2021")</f>
        <v/>
      </c>
      <c r="V36">
        <f>HYPERLINK("https://klasma.github.io/Logging_0461/klagomål/A 22712-2021 FSC-klagomål.docx", "A 22712-2021")</f>
        <v/>
      </c>
      <c r="W36">
        <f>HYPERLINK("https://klasma.github.io/Logging_0461/klagomålsmail/A 22712-2021 FSC-klagomål mail.docx", "A 22712-2021")</f>
        <v/>
      </c>
      <c r="X36">
        <f>HYPERLINK("https://klasma.github.io/Logging_0461/tillsyn/A 22712-2021 tillsynsbegäran.docx", "A 22712-2021")</f>
        <v/>
      </c>
      <c r="Y36">
        <f>HYPERLINK("https://klasma.github.io/Logging_0461/tillsynsmail/A 22712-2021 tillsynsbegäran mail.docx", "A 22712-2021")</f>
        <v/>
      </c>
    </row>
    <row r="37" ht="15" customHeight="1">
      <c r="A37" t="inlineStr">
        <is>
          <t>A 2012-2022</t>
        </is>
      </c>
      <c r="B37" s="1" t="n">
        <v>44575</v>
      </c>
      <c r="C37" s="1" t="n">
        <v>45687</v>
      </c>
      <c r="D37" t="inlineStr">
        <is>
          <t>SÖDERMANLANDS LÄN</t>
        </is>
      </c>
      <c r="E37" t="inlineStr">
        <is>
          <t>GNESTA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HYPERLINK("https://klasma.github.io/Logging_0461/artfynd/A 2012-2022 artfynd.xlsx", "A 2012-2022")</f>
        <v/>
      </c>
      <c r="T37">
        <f>HYPERLINK("https://klasma.github.io/Logging_0461/kartor/A 2012-2022 karta.png", "A 2012-2022")</f>
        <v/>
      </c>
      <c r="V37">
        <f>HYPERLINK("https://klasma.github.io/Logging_0461/klagomål/A 2012-2022 FSC-klagomål.docx", "A 2012-2022")</f>
        <v/>
      </c>
      <c r="W37">
        <f>HYPERLINK("https://klasma.github.io/Logging_0461/klagomålsmail/A 2012-2022 FSC-klagomål mail.docx", "A 2012-2022")</f>
        <v/>
      </c>
      <c r="X37">
        <f>HYPERLINK("https://klasma.github.io/Logging_0461/tillsyn/A 2012-2022 tillsynsbegäran.docx", "A 2012-2022")</f>
        <v/>
      </c>
      <c r="Y37">
        <f>HYPERLINK("https://klasma.github.io/Logging_0461/tillsynsmail/A 2012-2022 tillsynsbegäran mail.docx", "A 2012-2022")</f>
        <v/>
      </c>
    </row>
    <row r="38" ht="15" customHeight="1">
      <c r="A38" t="inlineStr">
        <is>
          <t>A 32252-2022</t>
        </is>
      </c>
      <c r="B38" s="1" t="n">
        <v>44781</v>
      </c>
      <c r="C38" s="1" t="n">
        <v>45687</v>
      </c>
      <c r="D38" t="inlineStr">
        <is>
          <t>SÖDERMANLANDS LÄN</t>
        </is>
      </c>
      <c r="E38" t="inlineStr">
        <is>
          <t>GNESTA</t>
        </is>
      </c>
      <c r="G38" t="n">
        <v>17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Svavelriska</t>
        </is>
      </c>
      <c r="S38">
        <f>HYPERLINK("https://klasma.github.io/Logging_0461/artfynd/A 32252-2022 artfynd.xlsx", "A 32252-2022")</f>
        <v/>
      </c>
      <c r="T38">
        <f>HYPERLINK("https://klasma.github.io/Logging_0461/kartor/A 32252-2022 karta.png", "A 32252-2022")</f>
        <v/>
      </c>
      <c r="V38">
        <f>HYPERLINK("https://klasma.github.io/Logging_0461/klagomål/A 32252-2022 FSC-klagomål.docx", "A 32252-2022")</f>
        <v/>
      </c>
      <c r="W38">
        <f>HYPERLINK("https://klasma.github.io/Logging_0461/klagomålsmail/A 32252-2022 FSC-klagomål mail.docx", "A 32252-2022")</f>
        <v/>
      </c>
      <c r="X38">
        <f>HYPERLINK("https://klasma.github.io/Logging_0461/tillsyn/A 32252-2022 tillsynsbegäran.docx", "A 32252-2022")</f>
        <v/>
      </c>
      <c r="Y38">
        <f>HYPERLINK("https://klasma.github.io/Logging_0461/tillsynsmail/A 32252-2022 tillsynsbegäran mail.docx", "A 32252-2022")</f>
        <v/>
      </c>
    </row>
    <row r="39" ht="15" customHeight="1">
      <c r="A39" t="inlineStr">
        <is>
          <t>A 33825-2022</t>
        </is>
      </c>
      <c r="B39" s="1" t="n">
        <v>44790</v>
      </c>
      <c r="C39" s="1" t="n">
        <v>45687</v>
      </c>
      <c r="D39" t="inlineStr">
        <is>
          <t>SÖDERMANLANDS LÄN</t>
        </is>
      </c>
      <c r="E39" t="inlineStr">
        <is>
          <t>GNESTA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HYPERLINK("https://klasma.github.io/Logging_0461/artfynd/A 33825-2022 artfynd.xlsx", "A 33825-2022")</f>
        <v/>
      </c>
      <c r="T39">
        <f>HYPERLINK("https://klasma.github.io/Logging_0461/kartor/A 33825-2022 karta.png", "A 33825-2022")</f>
        <v/>
      </c>
      <c r="V39">
        <f>HYPERLINK("https://klasma.github.io/Logging_0461/klagomål/A 33825-2022 FSC-klagomål.docx", "A 33825-2022")</f>
        <v/>
      </c>
      <c r="W39">
        <f>HYPERLINK("https://klasma.github.io/Logging_0461/klagomålsmail/A 33825-2022 FSC-klagomål mail.docx", "A 33825-2022")</f>
        <v/>
      </c>
      <c r="X39">
        <f>HYPERLINK("https://klasma.github.io/Logging_0461/tillsyn/A 33825-2022 tillsynsbegäran.docx", "A 33825-2022")</f>
        <v/>
      </c>
      <c r="Y39">
        <f>HYPERLINK("https://klasma.github.io/Logging_0461/tillsynsmail/A 33825-2022 tillsynsbegäran mail.docx", "A 33825-2022")</f>
        <v/>
      </c>
    </row>
    <row r="40" ht="15" customHeight="1">
      <c r="A40" t="inlineStr">
        <is>
          <t>A 34029-2022</t>
        </is>
      </c>
      <c r="B40" s="1" t="n">
        <v>44791</v>
      </c>
      <c r="C40" s="1" t="n">
        <v>45687</v>
      </c>
      <c r="D40" t="inlineStr">
        <is>
          <t>SÖDERMANLANDS LÄN</t>
        </is>
      </c>
      <c r="E40" t="inlineStr">
        <is>
          <t>GNESTA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HYPERLINK("https://klasma.github.io/Logging_0461/artfynd/A 34029-2022 artfynd.xlsx", "A 34029-2022")</f>
        <v/>
      </c>
      <c r="T40">
        <f>HYPERLINK("https://klasma.github.io/Logging_0461/kartor/A 34029-2022 karta.png", "A 34029-2022")</f>
        <v/>
      </c>
      <c r="V40">
        <f>HYPERLINK("https://klasma.github.io/Logging_0461/klagomål/A 34029-2022 FSC-klagomål.docx", "A 34029-2022")</f>
        <v/>
      </c>
      <c r="W40">
        <f>HYPERLINK("https://klasma.github.io/Logging_0461/klagomålsmail/A 34029-2022 FSC-klagomål mail.docx", "A 34029-2022")</f>
        <v/>
      </c>
      <c r="X40">
        <f>HYPERLINK("https://klasma.github.io/Logging_0461/tillsyn/A 34029-2022 tillsynsbegäran.docx", "A 34029-2022")</f>
        <v/>
      </c>
      <c r="Y40">
        <f>HYPERLINK("https://klasma.github.io/Logging_0461/tillsynsmail/A 34029-2022 tillsynsbegäran mail.docx", "A 34029-2022")</f>
        <v/>
      </c>
    </row>
    <row r="41" ht="15" customHeight="1">
      <c r="A41" t="inlineStr">
        <is>
          <t>A 42227-2022</t>
        </is>
      </c>
      <c r="B41" s="1" t="n">
        <v>44830</v>
      </c>
      <c r="C41" s="1" t="n">
        <v>45687</v>
      </c>
      <c r="D41" t="inlineStr">
        <is>
          <t>SÖDERMANLANDS LÄN</t>
        </is>
      </c>
      <c r="E41" t="inlineStr">
        <is>
          <t>GNESTA</t>
        </is>
      </c>
      <c r="G41" t="n">
        <v>4.8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Sotlav</t>
        </is>
      </c>
      <c r="S41">
        <f>HYPERLINK("https://klasma.github.io/Logging_0461/artfynd/A 42227-2022 artfynd.xlsx", "A 42227-2022")</f>
        <v/>
      </c>
      <c r="T41">
        <f>HYPERLINK("https://klasma.github.io/Logging_0461/kartor/A 42227-2022 karta.png", "A 42227-2022")</f>
        <v/>
      </c>
      <c r="V41">
        <f>HYPERLINK("https://klasma.github.io/Logging_0461/klagomål/A 42227-2022 FSC-klagomål.docx", "A 42227-2022")</f>
        <v/>
      </c>
      <c r="W41">
        <f>HYPERLINK("https://klasma.github.io/Logging_0461/klagomålsmail/A 42227-2022 FSC-klagomål mail.docx", "A 42227-2022")</f>
        <v/>
      </c>
      <c r="X41">
        <f>HYPERLINK("https://klasma.github.io/Logging_0461/tillsyn/A 42227-2022 tillsynsbegäran.docx", "A 42227-2022")</f>
        <v/>
      </c>
      <c r="Y41">
        <f>HYPERLINK("https://klasma.github.io/Logging_0461/tillsynsmail/A 42227-2022 tillsynsbegäran mail.docx", "A 42227-2022")</f>
        <v/>
      </c>
    </row>
    <row r="42" ht="15" customHeight="1">
      <c r="A42" t="inlineStr">
        <is>
          <t>A 44782-2022</t>
        </is>
      </c>
      <c r="B42" s="1" t="n">
        <v>44839</v>
      </c>
      <c r="C42" s="1" t="n">
        <v>45687</v>
      </c>
      <c r="D42" t="inlineStr">
        <is>
          <t>SÖDERMANLANDS LÄN</t>
        </is>
      </c>
      <c r="E42" t="inlineStr">
        <is>
          <t>GNESTA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Bredbrämad bastardsvärmare</t>
        </is>
      </c>
      <c r="S42">
        <f>HYPERLINK("https://klasma.github.io/Logging_0461/artfynd/A 44782-2022 artfynd.xlsx", "A 44782-2022")</f>
        <v/>
      </c>
      <c r="T42">
        <f>HYPERLINK("https://klasma.github.io/Logging_0461/kartor/A 44782-2022 karta.png", "A 44782-2022")</f>
        <v/>
      </c>
      <c r="V42">
        <f>HYPERLINK("https://klasma.github.io/Logging_0461/klagomål/A 44782-2022 FSC-klagomål.docx", "A 44782-2022")</f>
        <v/>
      </c>
      <c r="W42">
        <f>HYPERLINK("https://klasma.github.io/Logging_0461/klagomålsmail/A 44782-2022 FSC-klagomål mail.docx", "A 44782-2022")</f>
        <v/>
      </c>
      <c r="X42">
        <f>HYPERLINK("https://klasma.github.io/Logging_0461/tillsyn/A 44782-2022 tillsynsbegäran.docx", "A 44782-2022")</f>
        <v/>
      </c>
      <c r="Y42">
        <f>HYPERLINK("https://klasma.github.io/Logging_0461/tillsynsmail/A 44782-2022 tillsynsbegäran mail.docx", "A 44782-2022")</f>
        <v/>
      </c>
    </row>
    <row r="43" ht="15" customHeight="1">
      <c r="A43" t="inlineStr">
        <is>
          <t>A 45656-2022</t>
        </is>
      </c>
      <c r="B43" s="1" t="n">
        <v>44841</v>
      </c>
      <c r="C43" s="1" t="n">
        <v>45687</v>
      </c>
      <c r="D43" t="inlineStr">
        <is>
          <t>SÖDERMANLANDS LÄN</t>
        </is>
      </c>
      <c r="E43" t="inlineStr">
        <is>
          <t>GNESTA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HYPERLINK("https://klasma.github.io/Logging_0461/artfynd/A 45656-2022 artfynd.xlsx", "A 45656-2022")</f>
        <v/>
      </c>
      <c r="T43">
        <f>HYPERLINK("https://klasma.github.io/Logging_0461/kartor/A 45656-2022 karta.png", "A 45656-2022")</f>
        <v/>
      </c>
      <c r="V43">
        <f>HYPERLINK("https://klasma.github.io/Logging_0461/klagomål/A 45656-2022 FSC-klagomål.docx", "A 45656-2022")</f>
        <v/>
      </c>
      <c r="W43">
        <f>HYPERLINK("https://klasma.github.io/Logging_0461/klagomålsmail/A 45656-2022 FSC-klagomål mail.docx", "A 45656-2022")</f>
        <v/>
      </c>
      <c r="X43">
        <f>HYPERLINK("https://klasma.github.io/Logging_0461/tillsyn/A 45656-2022 tillsynsbegäran.docx", "A 45656-2022")</f>
        <v/>
      </c>
      <c r="Y43">
        <f>HYPERLINK("https://klasma.github.io/Logging_0461/tillsynsmail/A 45656-2022 tillsynsbegäran mail.docx", "A 45656-2022")</f>
        <v/>
      </c>
    </row>
    <row r="44" ht="15" customHeight="1">
      <c r="A44" t="inlineStr">
        <is>
          <t>A 49460-2022</t>
        </is>
      </c>
      <c r="B44" s="1" t="n">
        <v>44861</v>
      </c>
      <c r="C44" s="1" t="n">
        <v>45687</v>
      </c>
      <c r="D44" t="inlineStr">
        <is>
          <t>SÖDERMANLANDS LÄN</t>
        </is>
      </c>
      <c r="E44" t="inlineStr">
        <is>
          <t>GNESTA</t>
        </is>
      </c>
      <c r="G44" t="n">
        <v>8.5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HYPERLINK("https://klasma.github.io/Logging_0461/artfynd/A 49460-2022 artfynd.xlsx", "A 49460-2022")</f>
        <v/>
      </c>
      <c r="T44">
        <f>HYPERLINK("https://klasma.github.io/Logging_0461/kartor/A 49460-2022 karta.png", "A 49460-2022")</f>
        <v/>
      </c>
      <c r="V44">
        <f>HYPERLINK("https://klasma.github.io/Logging_0461/klagomål/A 49460-2022 FSC-klagomål.docx", "A 49460-2022")</f>
        <v/>
      </c>
      <c r="W44">
        <f>HYPERLINK("https://klasma.github.io/Logging_0461/klagomålsmail/A 49460-2022 FSC-klagomål mail.docx", "A 49460-2022")</f>
        <v/>
      </c>
      <c r="X44">
        <f>HYPERLINK("https://klasma.github.io/Logging_0461/tillsyn/A 49460-2022 tillsynsbegäran.docx", "A 49460-2022")</f>
        <v/>
      </c>
      <c r="Y44">
        <f>HYPERLINK("https://klasma.github.io/Logging_0461/tillsynsmail/A 49460-2022 tillsynsbegäran mail.docx", "A 49460-2022")</f>
        <v/>
      </c>
    </row>
    <row r="45" ht="15" customHeight="1">
      <c r="A45" t="inlineStr">
        <is>
          <t>A 49442-2022</t>
        </is>
      </c>
      <c r="B45" s="1" t="n">
        <v>44861</v>
      </c>
      <c r="C45" s="1" t="n">
        <v>45687</v>
      </c>
      <c r="D45" t="inlineStr">
        <is>
          <t>SÖDERMANLANDS LÄN</t>
        </is>
      </c>
      <c r="E45" t="inlineStr">
        <is>
          <t>GNESTA</t>
        </is>
      </c>
      <c r="G45" t="n">
        <v>3.6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Streckvaxskivling</t>
        </is>
      </c>
      <c r="S45">
        <f>HYPERLINK("https://klasma.github.io/Logging_0461/artfynd/A 49442-2022 artfynd.xlsx", "A 49442-2022")</f>
        <v/>
      </c>
      <c r="T45">
        <f>HYPERLINK("https://klasma.github.io/Logging_0461/kartor/A 49442-2022 karta.png", "A 49442-2022")</f>
        <v/>
      </c>
      <c r="V45">
        <f>HYPERLINK("https://klasma.github.io/Logging_0461/klagomål/A 49442-2022 FSC-klagomål.docx", "A 49442-2022")</f>
        <v/>
      </c>
      <c r="W45">
        <f>HYPERLINK("https://klasma.github.io/Logging_0461/klagomålsmail/A 49442-2022 FSC-klagomål mail.docx", "A 49442-2022")</f>
        <v/>
      </c>
      <c r="X45">
        <f>HYPERLINK("https://klasma.github.io/Logging_0461/tillsyn/A 49442-2022 tillsynsbegäran.docx", "A 49442-2022")</f>
        <v/>
      </c>
      <c r="Y45">
        <f>HYPERLINK("https://klasma.github.io/Logging_0461/tillsynsmail/A 49442-2022 tillsynsbegäran mail.docx", "A 49442-2022")</f>
        <v/>
      </c>
    </row>
    <row r="46" ht="15" customHeight="1">
      <c r="A46" t="inlineStr">
        <is>
          <t>A 56791-2022</t>
        </is>
      </c>
      <c r="B46" s="1" t="n">
        <v>44894</v>
      </c>
      <c r="C46" s="1" t="n">
        <v>45687</v>
      </c>
      <c r="D46" t="inlineStr">
        <is>
          <t>SÖDERMANLANDS LÄN</t>
        </is>
      </c>
      <c r="E46" t="inlineStr">
        <is>
          <t>GNESTA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HYPERLINK("https://klasma.github.io/Logging_0461/artfynd/A 56791-2022 artfynd.xlsx", "A 56791-2022")</f>
        <v/>
      </c>
      <c r="T46">
        <f>HYPERLINK("https://klasma.github.io/Logging_0461/kartor/A 56791-2022 karta.png", "A 56791-2022")</f>
        <v/>
      </c>
      <c r="V46">
        <f>HYPERLINK("https://klasma.github.io/Logging_0461/klagomål/A 56791-2022 FSC-klagomål.docx", "A 56791-2022")</f>
        <v/>
      </c>
      <c r="W46">
        <f>HYPERLINK("https://klasma.github.io/Logging_0461/klagomålsmail/A 56791-2022 FSC-klagomål mail.docx", "A 56791-2022")</f>
        <v/>
      </c>
      <c r="X46">
        <f>HYPERLINK("https://klasma.github.io/Logging_0461/tillsyn/A 56791-2022 tillsynsbegäran.docx", "A 56791-2022")</f>
        <v/>
      </c>
      <c r="Y46">
        <f>HYPERLINK("https://klasma.github.io/Logging_0461/tillsynsmail/A 56791-2022 tillsynsbegäran mail.docx", "A 56791-2022")</f>
        <v/>
      </c>
    </row>
    <row r="47" ht="15" customHeight="1">
      <c r="A47" t="inlineStr">
        <is>
          <t>A 61986-2022</t>
        </is>
      </c>
      <c r="B47" s="1" t="n">
        <v>44918</v>
      </c>
      <c r="C47" s="1" t="n">
        <v>45687</v>
      </c>
      <c r="D47" t="inlineStr">
        <is>
          <t>SÖDERMANLANDS LÄN</t>
        </is>
      </c>
      <c r="E47" t="inlineStr">
        <is>
          <t>GNESTA</t>
        </is>
      </c>
      <c r="F47" t="inlineStr">
        <is>
          <t>Kommuner</t>
        </is>
      </c>
      <c r="G47" t="n">
        <v>7.5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HYPERLINK("https://klasma.github.io/Logging_0461/artfynd/A 61986-2022 artfynd.xlsx", "A 61986-2022")</f>
        <v/>
      </c>
      <c r="T47">
        <f>HYPERLINK("https://klasma.github.io/Logging_0461/kartor/A 61986-2022 karta.png", "A 61986-2022")</f>
        <v/>
      </c>
      <c r="V47">
        <f>HYPERLINK("https://klasma.github.io/Logging_0461/klagomål/A 61986-2022 FSC-klagomål.docx", "A 61986-2022")</f>
        <v/>
      </c>
      <c r="W47">
        <f>HYPERLINK("https://klasma.github.io/Logging_0461/klagomålsmail/A 61986-2022 FSC-klagomål mail.docx", "A 61986-2022")</f>
        <v/>
      </c>
      <c r="X47">
        <f>HYPERLINK("https://klasma.github.io/Logging_0461/tillsyn/A 61986-2022 tillsynsbegäran.docx", "A 61986-2022")</f>
        <v/>
      </c>
      <c r="Y47">
        <f>HYPERLINK("https://klasma.github.io/Logging_0461/tillsynsmail/A 61986-2022 tillsynsbegäran mail.docx", "A 61986-2022")</f>
        <v/>
      </c>
    </row>
    <row r="48" ht="15" customHeight="1">
      <c r="A48" t="inlineStr">
        <is>
          <t>A 62007-2022</t>
        </is>
      </c>
      <c r="B48" s="1" t="n">
        <v>44918</v>
      </c>
      <c r="C48" s="1" t="n">
        <v>45687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HYPERLINK("https://klasma.github.io/Logging_0461/artfynd/A 62007-2022 artfynd.xlsx", "A 62007-2022")</f>
        <v/>
      </c>
      <c r="T48">
        <f>HYPERLINK("https://klasma.github.io/Logging_0461/kartor/A 62007-2022 karta.png", "A 62007-2022")</f>
        <v/>
      </c>
      <c r="V48">
        <f>HYPERLINK("https://klasma.github.io/Logging_0461/klagomål/A 62007-2022 FSC-klagomål.docx", "A 62007-2022")</f>
        <v/>
      </c>
      <c r="W48">
        <f>HYPERLINK("https://klasma.github.io/Logging_0461/klagomålsmail/A 62007-2022 FSC-klagomål mail.docx", "A 62007-2022")</f>
        <v/>
      </c>
      <c r="X48">
        <f>HYPERLINK("https://klasma.github.io/Logging_0461/tillsyn/A 62007-2022 tillsynsbegäran.docx", "A 62007-2022")</f>
        <v/>
      </c>
      <c r="Y48">
        <f>HYPERLINK("https://klasma.github.io/Logging_0461/tillsynsmail/A 62007-2022 tillsynsbegäran mail.docx", "A 62007-2022")</f>
        <v/>
      </c>
    </row>
    <row r="49" ht="15" customHeight="1">
      <c r="A49" t="inlineStr">
        <is>
          <t>A 6395-2023</t>
        </is>
      </c>
      <c r="B49" s="1" t="n">
        <v>44965</v>
      </c>
      <c r="C49" s="1" t="n">
        <v>45687</v>
      </c>
      <c r="D49" t="inlineStr">
        <is>
          <t>SÖDERMANLANDS LÄN</t>
        </is>
      </c>
      <c r="E49" t="inlineStr">
        <is>
          <t>GNESTA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HYPERLINK("https://klasma.github.io/Logging_0461/artfynd/A 6395-2023 artfynd.xlsx", "A 6395-2023")</f>
        <v/>
      </c>
      <c r="T49">
        <f>HYPERLINK("https://klasma.github.io/Logging_0461/kartor/A 6395-2023 karta.png", "A 6395-2023")</f>
        <v/>
      </c>
      <c r="V49">
        <f>HYPERLINK("https://klasma.github.io/Logging_0461/klagomål/A 6395-2023 FSC-klagomål.docx", "A 6395-2023")</f>
        <v/>
      </c>
      <c r="W49">
        <f>HYPERLINK("https://klasma.github.io/Logging_0461/klagomålsmail/A 6395-2023 FSC-klagomål mail.docx", "A 6395-2023")</f>
        <v/>
      </c>
      <c r="X49">
        <f>HYPERLINK("https://klasma.github.io/Logging_0461/tillsyn/A 6395-2023 tillsynsbegäran.docx", "A 6395-2023")</f>
        <v/>
      </c>
      <c r="Y49">
        <f>HYPERLINK("https://klasma.github.io/Logging_0461/tillsynsmail/A 6395-2023 tillsynsbegäran mail.docx", "A 6395-2023")</f>
        <v/>
      </c>
    </row>
    <row r="50" ht="15" customHeight="1">
      <c r="A50" t="inlineStr">
        <is>
          <t>A 7681-2023</t>
        </is>
      </c>
      <c r="B50" s="1" t="n">
        <v>44972</v>
      </c>
      <c r="C50" s="1" t="n">
        <v>45687</v>
      </c>
      <c r="D50" t="inlineStr">
        <is>
          <t>SÖDERMANLANDS LÄN</t>
        </is>
      </c>
      <c r="E50" t="inlineStr">
        <is>
          <t>GNESTA</t>
        </is>
      </c>
      <c r="G50" t="n">
        <v>2.3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HYPERLINK("https://klasma.github.io/Logging_0461/artfynd/A 7681-2023 artfynd.xlsx", "A 7681-2023")</f>
        <v/>
      </c>
      <c r="T50">
        <f>HYPERLINK("https://klasma.github.io/Logging_0461/kartor/A 7681-2023 karta.png", "A 7681-2023")</f>
        <v/>
      </c>
      <c r="V50">
        <f>HYPERLINK("https://klasma.github.io/Logging_0461/klagomål/A 7681-2023 FSC-klagomål.docx", "A 7681-2023")</f>
        <v/>
      </c>
      <c r="W50">
        <f>HYPERLINK("https://klasma.github.io/Logging_0461/klagomålsmail/A 7681-2023 FSC-klagomål mail.docx", "A 7681-2023")</f>
        <v/>
      </c>
      <c r="X50">
        <f>HYPERLINK("https://klasma.github.io/Logging_0461/tillsyn/A 7681-2023 tillsynsbegäran.docx", "A 7681-2023")</f>
        <v/>
      </c>
      <c r="Y50">
        <f>HYPERLINK("https://klasma.github.io/Logging_0461/tillsynsmail/A 7681-2023 tillsynsbegäran mail.docx", "A 7681-2023")</f>
        <v/>
      </c>
    </row>
    <row r="51" ht="15" customHeight="1">
      <c r="A51" t="inlineStr">
        <is>
          <t>A 7661-2023</t>
        </is>
      </c>
      <c r="B51" s="1" t="n">
        <v>44972</v>
      </c>
      <c r="C51" s="1" t="n">
        <v>45687</v>
      </c>
      <c r="D51" t="inlineStr">
        <is>
          <t>SÖDERMANLANDS LÄN</t>
        </is>
      </c>
      <c r="E51" t="inlineStr">
        <is>
          <t>GNESTA</t>
        </is>
      </c>
      <c r="G51" t="n">
        <v>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HYPERLINK("https://klasma.github.io/Logging_0461/artfynd/A 7661-2023 artfynd.xlsx", "A 7661-2023")</f>
        <v/>
      </c>
      <c r="T51">
        <f>HYPERLINK("https://klasma.github.io/Logging_0461/kartor/A 7661-2023 karta.png", "A 7661-2023")</f>
        <v/>
      </c>
      <c r="V51">
        <f>HYPERLINK("https://klasma.github.io/Logging_0461/klagomål/A 7661-2023 FSC-klagomål.docx", "A 7661-2023")</f>
        <v/>
      </c>
      <c r="W51">
        <f>HYPERLINK("https://klasma.github.io/Logging_0461/klagomålsmail/A 7661-2023 FSC-klagomål mail.docx", "A 7661-2023")</f>
        <v/>
      </c>
      <c r="X51">
        <f>HYPERLINK("https://klasma.github.io/Logging_0461/tillsyn/A 7661-2023 tillsynsbegäran.docx", "A 7661-2023")</f>
        <v/>
      </c>
      <c r="Y51">
        <f>HYPERLINK("https://klasma.github.io/Logging_0461/tillsynsmail/A 7661-2023 tillsynsbegäran mail.docx", "A 7661-2023")</f>
        <v/>
      </c>
    </row>
    <row r="52" ht="15" customHeight="1">
      <c r="A52" t="inlineStr">
        <is>
          <t>A 7741-2023</t>
        </is>
      </c>
      <c r="B52" s="1" t="n">
        <v>44973</v>
      </c>
      <c r="C52" s="1" t="n">
        <v>45687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7741-2023 artfynd.xlsx", "A 7741-2023")</f>
        <v/>
      </c>
      <c r="T52">
        <f>HYPERLINK("https://klasma.github.io/Logging_0461/kartor/A 7741-2023 karta.png", "A 7741-2023")</f>
        <v/>
      </c>
      <c r="V52">
        <f>HYPERLINK("https://klasma.github.io/Logging_0461/klagomål/A 7741-2023 FSC-klagomål.docx", "A 7741-2023")</f>
        <v/>
      </c>
      <c r="W52">
        <f>HYPERLINK("https://klasma.github.io/Logging_0461/klagomålsmail/A 7741-2023 FSC-klagomål mail.docx", "A 7741-2023")</f>
        <v/>
      </c>
      <c r="X52">
        <f>HYPERLINK("https://klasma.github.io/Logging_0461/tillsyn/A 7741-2023 tillsynsbegäran.docx", "A 7741-2023")</f>
        <v/>
      </c>
      <c r="Y52">
        <f>HYPERLINK("https://klasma.github.io/Logging_0461/tillsynsmail/A 7741-2023 tillsynsbegäran mail.docx", "A 7741-2023")</f>
        <v/>
      </c>
    </row>
    <row r="53" ht="15" customHeight="1">
      <c r="A53" t="inlineStr">
        <is>
          <t>A 8019-2023</t>
        </is>
      </c>
      <c r="B53" s="1" t="n">
        <v>44973</v>
      </c>
      <c r="C53" s="1" t="n">
        <v>45687</v>
      </c>
      <c r="D53" t="inlineStr">
        <is>
          <t>SÖDERMANLANDS LÄN</t>
        </is>
      </c>
      <c r="E53" t="inlineStr">
        <is>
          <t>GNESTA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8019-2023 artfynd.xlsx", "A 8019-2023")</f>
        <v/>
      </c>
      <c r="T53">
        <f>HYPERLINK("https://klasma.github.io/Logging_0461/kartor/A 8019-2023 karta.png", "A 8019-2023")</f>
        <v/>
      </c>
      <c r="V53">
        <f>HYPERLINK("https://klasma.github.io/Logging_0461/klagomål/A 8019-2023 FSC-klagomål.docx", "A 8019-2023")</f>
        <v/>
      </c>
      <c r="W53">
        <f>HYPERLINK("https://klasma.github.io/Logging_0461/klagomålsmail/A 8019-2023 FSC-klagomål mail.docx", "A 8019-2023")</f>
        <v/>
      </c>
      <c r="X53">
        <f>HYPERLINK("https://klasma.github.io/Logging_0461/tillsyn/A 8019-2023 tillsynsbegäran.docx", "A 8019-2023")</f>
        <v/>
      </c>
      <c r="Y53">
        <f>HYPERLINK("https://klasma.github.io/Logging_0461/tillsynsmail/A 8019-2023 tillsynsbegäran mail.docx", "A 8019-2023")</f>
        <v/>
      </c>
    </row>
    <row r="54" ht="15" customHeight="1">
      <c r="A54" t="inlineStr">
        <is>
          <t>A 9303-2023</t>
        </is>
      </c>
      <c r="B54" s="1" t="n">
        <v>44980</v>
      </c>
      <c r="C54" s="1" t="n">
        <v>45687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Zontaggsvamp</t>
        </is>
      </c>
      <c r="S54">
        <f>HYPERLINK("https://klasma.github.io/Logging_0461/artfynd/A 9303-2023 artfynd.xlsx", "A 9303-2023")</f>
        <v/>
      </c>
      <c r="T54">
        <f>HYPERLINK("https://klasma.github.io/Logging_0461/kartor/A 9303-2023 karta.png", "A 9303-2023")</f>
        <v/>
      </c>
      <c r="V54">
        <f>HYPERLINK("https://klasma.github.io/Logging_0461/klagomål/A 9303-2023 FSC-klagomål.docx", "A 9303-2023")</f>
        <v/>
      </c>
      <c r="W54">
        <f>HYPERLINK("https://klasma.github.io/Logging_0461/klagomålsmail/A 9303-2023 FSC-klagomål mail.docx", "A 9303-2023")</f>
        <v/>
      </c>
      <c r="X54">
        <f>HYPERLINK("https://klasma.github.io/Logging_0461/tillsyn/A 9303-2023 tillsynsbegäran.docx", "A 9303-2023")</f>
        <v/>
      </c>
      <c r="Y54">
        <f>HYPERLINK("https://klasma.github.io/Logging_0461/tillsynsmail/A 9303-2023 tillsynsbegäran mail.docx", "A 9303-2023")</f>
        <v/>
      </c>
    </row>
    <row r="55" ht="15" customHeight="1">
      <c r="A55" t="inlineStr">
        <is>
          <t>A 12174-2023</t>
        </is>
      </c>
      <c r="B55" s="1" t="n">
        <v>44995</v>
      </c>
      <c r="C55" s="1" t="n">
        <v>45687</v>
      </c>
      <c r="D55" t="inlineStr">
        <is>
          <t>SÖDERMANLANDS LÄN</t>
        </is>
      </c>
      <c r="E55" t="inlineStr">
        <is>
          <t>GNESTA</t>
        </is>
      </c>
      <c r="G55" t="n">
        <v>11.2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Klasefibbla</t>
        </is>
      </c>
      <c r="S55">
        <f>HYPERLINK("https://klasma.github.io/Logging_0461/artfynd/A 12174-2023 artfynd.xlsx", "A 12174-2023")</f>
        <v/>
      </c>
      <c r="T55">
        <f>HYPERLINK("https://klasma.github.io/Logging_0461/kartor/A 12174-2023 karta.png", "A 12174-2023")</f>
        <v/>
      </c>
      <c r="V55">
        <f>HYPERLINK("https://klasma.github.io/Logging_0461/klagomål/A 12174-2023 FSC-klagomål.docx", "A 12174-2023")</f>
        <v/>
      </c>
      <c r="W55">
        <f>HYPERLINK("https://klasma.github.io/Logging_0461/klagomålsmail/A 12174-2023 FSC-klagomål mail.docx", "A 12174-2023")</f>
        <v/>
      </c>
      <c r="X55">
        <f>HYPERLINK("https://klasma.github.io/Logging_0461/tillsyn/A 12174-2023 tillsynsbegäran.docx", "A 12174-2023")</f>
        <v/>
      </c>
      <c r="Y55">
        <f>HYPERLINK("https://klasma.github.io/Logging_0461/tillsynsmail/A 12174-2023 tillsynsbegäran mail.docx", "A 12174-2023")</f>
        <v/>
      </c>
    </row>
    <row r="56" ht="15" customHeight="1">
      <c r="A56" t="inlineStr">
        <is>
          <t>A 17653-2023</t>
        </is>
      </c>
      <c r="B56" s="1" t="n">
        <v>45036</v>
      </c>
      <c r="C56" s="1" t="n">
        <v>45687</v>
      </c>
      <c r="D56" t="inlineStr">
        <is>
          <t>SÖDERMANLANDS LÄN</t>
        </is>
      </c>
      <c r="E56" t="inlineStr">
        <is>
          <t>GNESTA</t>
        </is>
      </c>
      <c r="G56" t="n">
        <v>5.1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Bronspraktbagge</t>
        </is>
      </c>
      <c r="S56">
        <f>HYPERLINK("https://klasma.github.io/Logging_0461/artfynd/A 17653-2023 artfynd.xlsx", "A 17653-2023")</f>
        <v/>
      </c>
      <c r="T56">
        <f>HYPERLINK("https://klasma.github.io/Logging_0461/kartor/A 17653-2023 karta.png", "A 17653-2023")</f>
        <v/>
      </c>
      <c r="V56">
        <f>HYPERLINK("https://klasma.github.io/Logging_0461/klagomål/A 17653-2023 FSC-klagomål.docx", "A 17653-2023")</f>
        <v/>
      </c>
      <c r="W56">
        <f>HYPERLINK("https://klasma.github.io/Logging_0461/klagomålsmail/A 17653-2023 FSC-klagomål mail.docx", "A 17653-2023")</f>
        <v/>
      </c>
      <c r="X56">
        <f>HYPERLINK("https://klasma.github.io/Logging_0461/tillsyn/A 17653-2023 tillsynsbegäran.docx", "A 17653-2023")</f>
        <v/>
      </c>
      <c r="Y56">
        <f>HYPERLINK("https://klasma.github.io/Logging_0461/tillsynsmail/A 17653-2023 tillsynsbegäran mail.docx", "A 17653-2023")</f>
        <v/>
      </c>
    </row>
    <row r="57" ht="15" customHeight="1">
      <c r="A57" t="inlineStr">
        <is>
          <t>A 33639-2023</t>
        </is>
      </c>
      <c r="B57" s="1" t="n">
        <v>45119</v>
      </c>
      <c r="C57" s="1" t="n">
        <v>45687</v>
      </c>
      <c r="D57" t="inlineStr">
        <is>
          <t>SÖDERMANLANDS LÄN</t>
        </is>
      </c>
      <c r="E57" t="inlineStr">
        <is>
          <t>GNESTA</t>
        </is>
      </c>
      <c r="G57" t="n">
        <v>6.1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Springkorn</t>
        </is>
      </c>
      <c r="S57">
        <f>HYPERLINK("https://klasma.github.io/Logging_0461/artfynd/A 33639-2023 artfynd.xlsx", "A 33639-2023")</f>
        <v/>
      </c>
      <c r="T57">
        <f>HYPERLINK("https://klasma.github.io/Logging_0461/kartor/A 33639-2023 karta.png", "A 33639-2023")</f>
        <v/>
      </c>
      <c r="V57">
        <f>HYPERLINK("https://klasma.github.io/Logging_0461/klagomål/A 33639-2023 FSC-klagomål.docx", "A 33639-2023")</f>
        <v/>
      </c>
      <c r="W57">
        <f>HYPERLINK("https://klasma.github.io/Logging_0461/klagomålsmail/A 33639-2023 FSC-klagomål mail.docx", "A 33639-2023")</f>
        <v/>
      </c>
      <c r="X57">
        <f>HYPERLINK("https://klasma.github.io/Logging_0461/tillsyn/A 33639-2023 tillsynsbegäran.docx", "A 33639-2023")</f>
        <v/>
      </c>
      <c r="Y57">
        <f>HYPERLINK("https://klasma.github.io/Logging_0461/tillsynsmail/A 33639-2023 tillsynsbegäran mail.docx", "A 33639-2023")</f>
        <v/>
      </c>
    </row>
    <row r="58" ht="15" customHeight="1">
      <c r="A58" t="inlineStr">
        <is>
          <t>A 40267-2023</t>
        </is>
      </c>
      <c r="B58" s="1" t="n">
        <v>45169</v>
      </c>
      <c r="C58" s="1" t="n">
        <v>45687</v>
      </c>
      <c r="D58" t="inlineStr">
        <is>
          <t>SÖDERMANLANDS LÄN</t>
        </is>
      </c>
      <c r="E58" t="inlineStr">
        <is>
          <t>GNESTA</t>
        </is>
      </c>
      <c r="F58" t="inlineStr">
        <is>
          <t>Holmen skog AB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40267-2023 artfynd.xlsx", "A 40267-2023")</f>
        <v/>
      </c>
      <c r="T58">
        <f>HYPERLINK("https://klasma.github.io/Logging_0461/kartor/A 40267-2023 karta.png", "A 40267-2023")</f>
        <v/>
      </c>
      <c r="V58">
        <f>HYPERLINK("https://klasma.github.io/Logging_0461/klagomål/A 40267-2023 FSC-klagomål.docx", "A 40267-2023")</f>
        <v/>
      </c>
      <c r="W58">
        <f>HYPERLINK("https://klasma.github.io/Logging_0461/klagomålsmail/A 40267-2023 FSC-klagomål mail.docx", "A 40267-2023")</f>
        <v/>
      </c>
      <c r="X58">
        <f>HYPERLINK("https://klasma.github.io/Logging_0461/tillsyn/A 40267-2023 tillsynsbegäran.docx", "A 40267-2023")</f>
        <v/>
      </c>
      <c r="Y58">
        <f>HYPERLINK("https://klasma.github.io/Logging_0461/tillsynsmail/A 40267-2023 tillsynsbegäran mail.docx", "A 40267-2023")</f>
        <v/>
      </c>
    </row>
    <row r="59" ht="15" customHeight="1">
      <c r="A59" t="inlineStr">
        <is>
          <t>A 42552-2023</t>
        </is>
      </c>
      <c r="B59" s="1" t="n">
        <v>45181</v>
      </c>
      <c r="C59" s="1" t="n">
        <v>45687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42552-2023 artfynd.xlsx", "A 42552-2023")</f>
        <v/>
      </c>
      <c r="T59">
        <f>HYPERLINK("https://klasma.github.io/Logging_0461/kartor/A 42552-2023 karta.png", "A 42552-2023")</f>
        <v/>
      </c>
      <c r="V59">
        <f>HYPERLINK("https://klasma.github.io/Logging_0461/klagomål/A 42552-2023 FSC-klagomål.docx", "A 42552-2023")</f>
        <v/>
      </c>
      <c r="W59">
        <f>HYPERLINK("https://klasma.github.io/Logging_0461/klagomålsmail/A 42552-2023 FSC-klagomål mail.docx", "A 42552-2023")</f>
        <v/>
      </c>
      <c r="X59">
        <f>HYPERLINK("https://klasma.github.io/Logging_0461/tillsyn/A 42552-2023 tillsynsbegäran.docx", "A 42552-2023")</f>
        <v/>
      </c>
      <c r="Y59">
        <f>HYPERLINK("https://klasma.github.io/Logging_0461/tillsynsmail/A 42552-2023 tillsynsbegäran mail.docx", "A 42552-2023")</f>
        <v/>
      </c>
    </row>
    <row r="60" ht="15" customHeight="1">
      <c r="A60" t="inlineStr">
        <is>
          <t>A 62737-2023</t>
        </is>
      </c>
      <c r="B60" s="1" t="n">
        <v>45271</v>
      </c>
      <c r="C60" s="1" t="n">
        <v>45687</v>
      </c>
      <c r="D60" t="inlineStr">
        <is>
          <t>SÖDERMANLANDS LÄN</t>
        </is>
      </c>
      <c r="E60" t="inlineStr">
        <is>
          <t>GNESTA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HYPERLINK("https://klasma.github.io/Logging_0461/artfynd/A 62737-2023 artfynd.xlsx", "A 62737-2023")</f>
        <v/>
      </c>
      <c r="T60">
        <f>HYPERLINK("https://klasma.github.io/Logging_0461/kartor/A 62737-2023 karta.png", "A 62737-2023")</f>
        <v/>
      </c>
      <c r="V60">
        <f>HYPERLINK("https://klasma.github.io/Logging_0461/klagomål/A 62737-2023 FSC-klagomål.docx", "A 62737-2023")</f>
        <v/>
      </c>
      <c r="W60">
        <f>HYPERLINK("https://klasma.github.io/Logging_0461/klagomålsmail/A 62737-2023 FSC-klagomål mail.docx", "A 62737-2023")</f>
        <v/>
      </c>
      <c r="X60">
        <f>HYPERLINK("https://klasma.github.io/Logging_0461/tillsyn/A 62737-2023 tillsynsbegäran.docx", "A 62737-2023")</f>
        <v/>
      </c>
      <c r="Y60">
        <f>HYPERLINK("https://klasma.github.io/Logging_0461/tillsynsmail/A 62737-2023 tillsynsbegäran mail.docx", "A 62737-2023")</f>
        <v/>
      </c>
    </row>
    <row r="61" ht="15" customHeight="1">
      <c r="A61" t="inlineStr">
        <is>
          <t>A 1712-2024</t>
        </is>
      </c>
      <c r="B61" s="1" t="n">
        <v>45307</v>
      </c>
      <c r="C61" s="1" t="n">
        <v>45687</v>
      </c>
      <c r="D61" t="inlineStr">
        <is>
          <t>SÖDERMANLANDS LÄN</t>
        </is>
      </c>
      <c r="E61" t="inlineStr">
        <is>
          <t>GNESTA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HYPERLINK("https://klasma.github.io/Logging_0461/artfynd/A 1712-2024 artfynd.xlsx", "A 1712-2024")</f>
        <v/>
      </c>
      <c r="T61">
        <f>HYPERLINK("https://klasma.github.io/Logging_0461/kartor/A 1712-2024 karta.png", "A 1712-2024")</f>
        <v/>
      </c>
      <c r="V61">
        <f>HYPERLINK("https://klasma.github.io/Logging_0461/klagomål/A 1712-2024 FSC-klagomål.docx", "A 1712-2024")</f>
        <v/>
      </c>
      <c r="W61">
        <f>HYPERLINK("https://klasma.github.io/Logging_0461/klagomålsmail/A 1712-2024 FSC-klagomål mail.docx", "A 1712-2024")</f>
        <v/>
      </c>
      <c r="X61">
        <f>HYPERLINK("https://klasma.github.io/Logging_0461/tillsyn/A 1712-2024 tillsynsbegäran.docx", "A 1712-2024")</f>
        <v/>
      </c>
      <c r="Y61">
        <f>HYPERLINK("https://klasma.github.io/Logging_0461/tillsynsmail/A 1712-2024 tillsynsbegäran mail.docx", "A 1712-2024")</f>
        <v/>
      </c>
    </row>
    <row r="62" ht="15" customHeight="1">
      <c r="A62" t="inlineStr">
        <is>
          <t>A 25976-2024</t>
        </is>
      </c>
      <c r="B62" s="1" t="n">
        <v>45467</v>
      </c>
      <c r="C62" s="1" t="n">
        <v>45687</v>
      </c>
      <c r="D62" t="inlineStr">
        <is>
          <t>SÖDERMANLANDS LÄN</t>
        </is>
      </c>
      <c r="E62" t="inlineStr">
        <is>
          <t>GNESTA</t>
        </is>
      </c>
      <c r="G62" t="n">
        <v>5.6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Brun nållav</t>
        </is>
      </c>
      <c r="S62">
        <f>HYPERLINK("https://klasma.github.io/Logging_0461/artfynd/A 25976-2024 artfynd.xlsx", "A 25976-2024")</f>
        <v/>
      </c>
      <c r="T62">
        <f>HYPERLINK("https://klasma.github.io/Logging_0461/kartor/A 25976-2024 karta.png", "A 25976-2024")</f>
        <v/>
      </c>
      <c r="V62">
        <f>HYPERLINK("https://klasma.github.io/Logging_0461/klagomål/A 25976-2024 FSC-klagomål.docx", "A 25976-2024")</f>
        <v/>
      </c>
      <c r="W62">
        <f>HYPERLINK("https://klasma.github.io/Logging_0461/klagomålsmail/A 25976-2024 FSC-klagomål mail.docx", "A 25976-2024")</f>
        <v/>
      </c>
      <c r="X62">
        <f>HYPERLINK("https://klasma.github.io/Logging_0461/tillsyn/A 25976-2024 tillsynsbegäran.docx", "A 25976-2024")</f>
        <v/>
      </c>
      <c r="Y62">
        <f>HYPERLINK("https://klasma.github.io/Logging_0461/tillsynsmail/A 25976-2024 tillsynsbegäran mail.docx", "A 25976-2024")</f>
        <v/>
      </c>
    </row>
    <row r="63" ht="15" customHeight="1">
      <c r="A63" t="inlineStr">
        <is>
          <t>A 51217-2024</t>
        </is>
      </c>
      <c r="B63" s="1" t="n">
        <v>45603</v>
      </c>
      <c r="C63" s="1" t="n">
        <v>45687</v>
      </c>
      <c r="D63" t="inlineStr">
        <is>
          <t>SÖDERMANLANDS LÄN</t>
        </is>
      </c>
      <c r="E63" t="inlineStr">
        <is>
          <t>GNESTA</t>
        </is>
      </c>
      <c r="G63" t="n">
        <v>16.6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HYPERLINK("https://klasma.github.io/Logging_0461/artfynd/A 51217-2024 artfynd.xlsx", "A 51217-2024")</f>
        <v/>
      </c>
      <c r="T63">
        <f>HYPERLINK("https://klasma.github.io/Logging_0461/kartor/A 51217-2024 karta.png", "A 51217-2024")</f>
        <v/>
      </c>
      <c r="V63">
        <f>HYPERLINK("https://klasma.github.io/Logging_0461/klagomål/A 51217-2024 FSC-klagomål.docx", "A 51217-2024")</f>
        <v/>
      </c>
      <c r="W63">
        <f>HYPERLINK("https://klasma.github.io/Logging_0461/klagomålsmail/A 51217-2024 FSC-klagomål mail.docx", "A 51217-2024")</f>
        <v/>
      </c>
      <c r="X63">
        <f>HYPERLINK("https://klasma.github.io/Logging_0461/tillsyn/A 51217-2024 tillsynsbegäran.docx", "A 51217-2024")</f>
        <v/>
      </c>
      <c r="Y63">
        <f>HYPERLINK("https://klasma.github.io/Logging_0461/tillsynsmail/A 51217-2024 tillsynsbegäran mail.docx", "A 51217-2024")</f>
        <v/>
      </c>
    </row>
    <row r="64" ht="15" customHeight="1">
      <c r="A64" t="inlineStr">
        <is>
          <t>A 51095-2024</t>
        </is>
      </c>
      <c r="B64" s="1" t="n">
        <v>45603</v>
      </c>
      <c r="C64" s="1" t="n">
        <v>45687</v>
      </c>
      <c r="D64" t="inlineStr">
        <is>
          <t>SÖDERMANLANDS LÄN</t>
        </is>
      </c>
      <c r="E64" t="inlineStr">
        <is>
          <t>GNESTA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51095-2024 artfynd.xlsx", "A 51095-2024")</f>
        <v/>
      </c>
      <c r="T64">
        <f>HYPERLINK("https://klasma.github.io/Logging_0461/kartor/A 51095-2024 karta.png", "A 51095-2024")</f>
        <v/>
      </c>
      <c r="V64">
        <f>HYPERLINK("https://klasma.github.io/Logging_0461/klagomål/A 51095-2024 FSC-klagomål.docx", "A 51095-2024")</f>
        <v/>
      </c>
      <c r="W64">
        <f>HYPERLINK("https://klasma.github.io/Logging_0461/klagomålsmail/A 51095-2024 FSC-klagomål mail.docx", "A 51095-2024")</f>
        <v/>
      </c>
      <c r="X64">
        <f>HYPERLINK("https://klasma.github.io/Logging_0461/tillsyn/A 51095-2024 tillsynsbegäran.docx", "A 51095-2024")</f>
        <v/>
      </c>
      <c r="Y64">
        <f>HYPERLINK("https://klasma.github.io/Logging_0461/tillsynsmail/A 51095-2024 tillsynsbegäran mail.docx", "A 51095-2024")</f>
        <v/>
      </c>
    </row>
    <row r="65" ht="15" customHeight="1">
      <c r="A65" t="inlineStr">
        <is>
          <t>A 1702-2025</t>
        </is>
      </c>
      <c r="B65" s="1" t="n">
        <v>45670</v>
      </c>
      <c r="C65" s="1" t="n">
        <v>45687</v>
      </c>
      <c r="D65" t="inlineStr">
        <is>
          <t>SÖDERMANLANDS LÄN</t>
        </is>
      </c>
      <c r="E65" t="inlineStr">
        <is>
          <t>GNESTA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HYPERLINK("https://klasma.github.io/Logging_0461/artfynd/A 1702-2025 artfynd.xlsx", "A 1702-2025")</f>
        <v/>
      </c>
      <c r="T65">
        <f>HYPERLINK("https://klasma.github.io/Logging_0461/kartor/A 1702-2025 karta.png", "A 1702-2025")</f>
        <v/>
      </c>
      <c r="V65">
        <f>HYPERLINK("https://klasma.github.io/Logging_0461/klagomål/A 1702-2025 FSC-klagomål.docx", "A 1702-2025")</f>
        <v/>
      </c>
      <c r="W65">
        <f>HYPERLINK("https://klasma.github.io/Logging_0461/klagomålsmail/A 1702-2025 FSC-klagomål mail.docx", "A 1702-2025")</f>
        <v/>
      </c>
      <c r="X65">
        <f>HYPERLINK("https://klasma.github.io/Logging_0461/tillsyn/A 1702-2025 tillsynsbegäran.docx", "A 1702-2025")</f>
        <v/>
      </c>
      <c r="Y65">
        <f>HYPERLINK("https://klasma.github.io/Logging_0461/tillsynsmail/A 1702-2025 tillsynsbegäran mail.docx", "A 1702-2025")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45687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45687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45687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45687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45687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45687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45687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45687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45687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45687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45687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45687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45687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45687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45687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45687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45687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45687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45687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45687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45687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45687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45687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45687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45687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45687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45687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45687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45687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45687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45687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45687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45687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45687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45687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45687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45687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45687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45687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45687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45687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45687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45687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45687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45687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45687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45687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45687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45687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45687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45687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45687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45687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45687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45687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45687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45687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45687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45687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45687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45687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45687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45687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45687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45687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45687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45687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45687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45687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45687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45687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45687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45687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45687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45687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45687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45687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45687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45687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45687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45687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45687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45687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45687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45687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45687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45687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45687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45687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45687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45687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45687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45687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45687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45687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45687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45687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45687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45687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45687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45687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45687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45687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45687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45687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45687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45687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45687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45687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45687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45687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45687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45687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45687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45687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45687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45687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45687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45687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45687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45687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45687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45687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45687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45687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45687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45687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45687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45687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45687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45687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45687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45687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45687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45687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45687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45687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45687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45687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45687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45687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45687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45687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45687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45687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45687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45687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45687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45687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45687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45687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45687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45687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45687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45687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45687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45687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45687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45687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45687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45687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45687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45687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45687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45687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45687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45687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45687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45687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45687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45687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45687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45687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45687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45687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45687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45687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45687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45687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45687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45687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45687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45687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45687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45687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45687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45687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45687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45687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45687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45687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45687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45687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45687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45687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45687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45687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45687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45687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45687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45687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45687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45687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45687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45687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45687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45687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45687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45687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45687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45687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45687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45687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45687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45687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45687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45687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45687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45687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45687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45687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45687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45687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45687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45687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45687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45687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45687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45687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45687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45687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45687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45687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45687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45687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45687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45687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45687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45687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45687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45687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45687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45687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45687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45687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45687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45687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45687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45687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45687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45687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45687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45687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45687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45687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45687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45687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45687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45687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45687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45687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45687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45687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45687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45687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45687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45687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45687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45687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45687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45687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45687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45687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45687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45687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45687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45687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45687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45687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45687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45687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45687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45687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45687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45687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45687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45687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45687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45687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45687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45687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45687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45687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45687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45687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45687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45687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45687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45687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45687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45687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45687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45687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45687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45687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45687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45687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45687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45687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45687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45687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45687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45687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45687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45687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45687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45687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45687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45687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45687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45687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45687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45687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45687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45687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45687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45687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45687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45687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45687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45687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45687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45687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45687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45687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45687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45687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45687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45687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45687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45687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45687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45687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45687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45687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45687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45687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45687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45687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45687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45687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45687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45687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45687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45687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45687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45687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45687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45687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45687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45687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45687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45687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45687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45687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45687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45687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45687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45687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45687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45687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45687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45687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45687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45687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45687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45687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45687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45687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45687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45687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45687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45687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45687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45687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45687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45687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45687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45687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45687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45687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45687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45687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45687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45687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45687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45687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45687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45687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45687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45687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45687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45687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45687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45687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45687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45687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45687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45687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45687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45687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45687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45687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45687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45687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45687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45687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45687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45687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45687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45687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45687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45687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45687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45687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45687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45687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45687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45687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45687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45687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45687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45687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45687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45687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45687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45687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45687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45687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45687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45687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45687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45687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45687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45687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45687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45687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45687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45687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45687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45687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45687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45687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45687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45687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45687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45687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45687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45687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45687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45687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45687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45687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45687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45687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45687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45687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45687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45687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45687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45687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45687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45687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45687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45687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45687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45687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45687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45687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45687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45687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45687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45687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45687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45687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45687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45687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45687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45687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45687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45687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45687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45687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45687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45687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45687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45687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45687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45687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45687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45687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45687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45687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45687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45687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45687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45687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45687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45687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45687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45687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45687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45687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45687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45687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45687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45687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45687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45687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45687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45687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45687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45687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45687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45687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45687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45687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45687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45687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45687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45687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45687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45687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45687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45687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45687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45687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45687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45687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45687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45687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3620-2025</t>
        </is>
      </c>
      <c r="B607" s="1" t="n">
        <v>45681</v>
      </c>
      <c r="C607" s="1" t="n">
        <v>45687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2025-01-30T16:00:24Z</dcterms:created>
  <dcterms:modified xmlns:dcterms="http://purl.org/dc/terms/" xmlns:xsi="http://www.w3.org/2001/XMLSchema-instance" xsi:type="dcterms:W3CDTF">2025-01-30T16:00:25Z</dcterms:modified>
</cp:coreProperties>
</file>