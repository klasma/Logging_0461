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43282-2024</t>
        </is>
      </c>
      <c r="B2" t="inlineStr">
        <is>
          <t>avverkningsanmälan</t>
        </is>
      </c>
      <c r="C2" t="inlineStr">
        <is>
          <t>Föryngringsavverkning</t>
        </is>
      </c>
      <c r="D2" s="1" t="n">
        <v>45568</v>
      </c>
      <c r="E2" s="1" t="n">
        <v>46220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Y2">
        <f>HYPERLINK("https://klasma.github.io/Logging_0461/klagomål/A 43282-2024 FSC-klagomål.docx", "A 43282-2024")</f>
        <v/>
      </c>
      <c r="Z2">
        <f>HYPERLINK("https://klasma.github.io/Logging_0461/klagomålsmail/A 43282-2024 FSC-klagomål mail.docx", "A 43282-2024")</f>
        <v/>
      </c>
      <c r="AA2">
        <f>HYPERLINK("https://klasma.github.io/Logging_0461/tillsyn/A 43282-2024 tillsynsbegäran.docx", "A 43282-2024")</f>
        <v/>
      </c>
      <c r="AB2">
        <f>HYPERLINK("https://klasma.github.io/Logging_0461/tillsynsmail/A 43282-2024 tillsynsbegäran mail.docx", "A 43282-2024")</f>
        <v/>
      </c>
      <c r="AC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46220</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Y3">
        <f>HYPERLINK("https://klasma.github.io/Logging_0461/klagomål/A 15285-2022 FSC-klagomål.docx", "A 15285-2022")</f>
        <v/>
      </c>
      <c r="Z3">
        <f>HYPERLINK("https://klasma.github.io/Logging_0461/klagomålsmail/A 15285-2022 FSC-klagomål mail.docx", "A 15285-2022")</f>
        <v/>
      </c>
      <c r="AA3">
        <f>HYPERLINK("https://klasma.github.io/Logging_0461/tillsyn/A 15285-2022 tillsynsbegäran.docx", "A 15285-2022")</f>
        <v/>
      </c>
      <c r="AB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46220</v>
      </c>
      <c r="F4" t="inlineStr">
        <is>
          <t>SÖDERMANLANDS LÄN</t>
        </is>
      </c>
      <c r="G4" t="inlineStr">
        <is>
          <t>GNESTA</t>
        </is>
      </c>
      <c r="I4" t="n">
        <v>6.7</v>
      </c>
      <c r="J4" t="n">
        <v>7</v>
      </c>
      <c r="K4" t="n">
        <v>0</v>
      </c>
      <c r="L4" t="n">
        <v>7</v>
      </c>
      <c r="M4" t="n">
        <v>1</v>
      </c>
      <c r="N4" t="n">
        <v>1</v>
      </c>
      <c r="O4" t="n">
        <v>0</v>
      </c>
      <c r="P4" t="n">
        <v>0</v>
      </c>
      <c r="Q4" t="n">
        <v>9</v>
      </c>
      <c r="R4" t="n">
        <v>2</v>
      </c>
      <c r="S4" t="n">
        <v>14</v>
      </c>
      <c r="T4" t="n">
        <v>17</v>
      </c>
      <c r="U4" s="2" t="inlineStr">
        <is>
          <t>Ask
Tofsvipa
Gullklöver
Gulsparv
Jungfrulin
Klasefibbla
Skrattmås
Svinrot
Vanlig backsmörblomma
Blåsippa
Vitsippa
Gröngöling
Vanlig snok
Gullviva</t>
        </is>
      </c>
      <c r="V4">
        <f>HYPERLINK("https://klasma.github.io/Logging_0461/artfynd/A 29975-2024 artfynd.xlsx", "A 29975-2024")</f>
        <v/>
      </c>
      <c r="W4">
        <f>HYPERLINK("https://klasma.github.io/Logging_0461/kartor/A 29975-2024 karta.png", "A 29975-2024")</f>
        <v/>
      </c>
      <c r="Y4">
        <f>HYPERLINK("https://klasma.github.io/Logging_0461/klagomål/A 29975-2024 FSC-klagomål.docx", "A 29975-2024")</f>
        <v/>
      </c>
      <c r="Z4">
        <f>HYPERLINK("https://klasma.github.io/Logging_0461/klagomålsmail/A 29975-2024 FSC-klagomål mail.docx", "A 29975-2024")</f>
        <v/>
      </c>
      <c r="AA4">
        <f>HYPERLINK("https://klasma.github.io/Logging_0461/tillsyn/A 29975-2024 tillsynsbegäran.docx", "A 29975-2024")</f>
        <v/>
      </c>
      <c r="AB4">
        <f>HYPERLINK("https://klasma.github.io/Logging_0461/tillsynsmail/A 29975-2024 tillsynsbegäran mail.docx", "A 29975-2024")</f>
        <v/>
      </c>
      <c r="AC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46220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s="2" t="inlineStr">
        <is>
          <t>Garnlav
Jättemusseron
Ryl
Skrovlig taggsvamp
Dropptaggsvamp
Dvärgbägarlav
Motaggsvamp
Orange taggsvamp
Tallticka
Vedskivlav
Björksplintborre
Mindre märgborre
Svart taggsvamp agg.
Tjäder</t>
        </is>
      </c>
      <c r="V5">
        <f>HYPERLINK("https://klasma.github.io/Logging_0461/artfynd/A 43303-2024 artfynd.xlsx", "A 43303-2024")</f>
        <v/>
      </c>
      <c r="W5">
        <f>HYPERLINK("https://klasma.github.io/Logging_0461/kartor/A 43303-2024 karta.png", "A 43303-2024")</f>
        <v/>
      </c>
      <c r="Y5">
        <f>HYPERLINK("https://klasma.github.io/Logging_0461/klagomål/A 43303-2024 FSC-klagomål.docx", "A 43303-2024")</f>
        <v/>
      </c>
      <c r="Z5">
        <f>HYPERLINK("https://klasma.github.io/Logging_0461/klagomålsmail/A 43303-2024 FSC-klagomål mail.docx", "A 43303-2024")</f>
        <v/>
      </c>
      <c r="AA5">
        <f>HYPERLINK("https://klasma.github.io/Logging_0461/tillsyn/A 43303-2024 tillsynsbegäran.docx", "A 43303-2024")</f>
        <v/>
      </c>
      <c r="AB5">
        <f>HYPERLINK("https://klasma.github.io/Logging_0461/tillsynsmail/A 43303-2024 tillsynsbegäran mail.docx", "A 43303-2024")</f>
        <v/>
      </c>
      <c r="AC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46220</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Y6">
        <f>HYPERLINK("https://klasma.github.io/Logging_0461/klagomål/S 1456-2025 FSC-klagomål.docx", "S 1456-2025")</f>
        <v/>
      </c>
      <c r="Z6">
        <f>HYPERLINK("https://klasma.github.io/Logging_0461/klagomålsmail/S 1456-2025 FSC-klagomål mail.docx", "S 1456-2025")</f>
        <v/>
      </c>
      <c r="AA6">
        <f>HYPERLINK("https://klasma.github.io/Logging_0461/tillsyn/S 1456-2025 tillsynsbegäran.docx", "S 1456-2025")</f>
        <v/>
      </c>
      <c r="AB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46220</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Y7">
        <f>HYPERLINK("https://klasma.github.io/Logging_0461/klagomål/A 68341-2021 FSC-klagomål.docx", "A 68341-2021")</f>
        <v/>
      </c>
      <c r="Z7">
        <f>HYPERLINK("https://klasma.github.io/Logging_0461/klagomålsmail/A 68341-2021 FSC-klagomål mail.docx", "A 68341-2021")</f>
        <v/>
      </c>
      <c r="AA7">
        <f>HYPERLINK("https://klasma.github.io/Logging_0461/tillsyn/A 68341-2021 tillsynsbegäran.docx", "A 68341-2021")</f>
        <v/>
      </c>
      <c r="AB7">
        <f>HYPERLINK("https://klasma.github.io/Logging_0461/tillsynsmail/A 68341-2021 tillsynsbegäran mail.docx", "A 68341-2021")</f>
        <v/>
      </c>
      <c r="AC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46220</v>
      </c>
      <c r="F8" t="inlineStr">
        <is>
          <t>SÖDERMANLANDS LÄN</t>
        </is>
      </c>
      <c r="G8" t="inlineStr">
        <is>
          <t>GNESTA</t>
        </is>
      </c>
      <c r="I8" t="n">
        <v>3.5</v>
      </c>
      <c r="J8" t="n">
        <v>4</v>
      </c>
      <c r="K8" t="n">
        <v>1</v>
      </c>
      <c r="L8" t="n">
        <v>3</v>
      </c>
      <c r="M8" t="n">
        <v>0</v>
      </c>
      <c r="N8" t="n">
        <v>0</v>
      </c>
      <c r="O8" t="n">
        <v>0</v>
      </c>
      <c r="P8" t="n">
        <v>0</v>
      </c>
      <c r="Q8" t="n">
        <v>3</v>
      </c>
      <c r="R8" t="n">
        <v>0</v>
      </c>
      <c r="S8" t="n">
        <v>8</v>
      </c>
      <c r="T8" t="n">
        <v>21</v>
      </c>
      <c r="U8" s="2" t="inlineStr">
        <is>
          <t>Dropptaggsvamp
Rynkskinn
Tallticka
Grönpyrola
Blåsippa
Tjäder
Revlummer
Äkta lopplummer</t>
        </is>
      </c>
      <c r="V8">
        <f>HYPERLINK("https://klasma.github.io/Logging_0461/artfynd/A 6539-2024 artfynd.xlsx", "A 6539-2024")</f>
        <v/>
      </c>
      <c r="W8">
        <f>HYPERLINK("https://klasma.github.io/Logging_0461/kartor/A 6539-2024 karta.png", "A 6539-2024")</f>
        <v/>
      </c>
      <c r="Y8">
        <f>HYPERLINK("https://klasma.github.io/Logging_0461/klagomål/A 6539-2024 FSC-klagomål.docx", "A 6539-2024")</f>
        <v/>
      </c>
      <c r="Z8">
        <f>HYPERLINK("https://klasma.github.io/Logging_0461/klagomålsmail/A 6539-2024 FSC-klagomål mail.docx", "A 6539-2024")</f>
        <v/>
      </c>
      <c r="AA8">
        <f>HYPERLINK("https://klasma.github.io/Logging_0461/tillsyn/A 6539-2024 tillsynsbegäran.docx", "A 6539-2024")</f>
        <v/>
      </c>
      <c r="AB8">
        <f>HYPERLINK("https://klasma.github.io/Logging_0461/tillsynsmail/A 6539-2024 tillsynsbegäran mail.docx", "A 6539-2024")</f>
        <v/>
      </c>
      <c r="AC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46220</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s="2" t="inlineStr">
        <is>
          <t>Dropptaggsvamp
Dvärgbägarlav
Kandelabersvamp
Motaggsvamp
Aspvedgnagare
Bronshjon
Flagellkvastmossa
Granbarkgnagare</t>
        </is>
      </c>
      <c r="V9">
        <f>HYPERLINK("https://klasma.github.io/Logging_0461/artfynd/A 35182-2024 artfynd.xlsx", "A 35182-2024")</f>
        <v/>
      </c>
      <c r="W9">
        <f>HYPERLINK("https://klasma.github.io/Logging_0461/kartor/A 35182-2024 karta.png", "A 35182-2024")</f>
        <v/>
      </c>
      <c r="Y9">
        <f>HYPERLINK("https://klasma.github.io/Logging_0461/klagomål/A 35182-2024 FSC-klagomål.docx", "A 35182-2024")</f>
        <v/>
      </c>
      <c r="Z9">
        <f>HYPERLINK("https://klasma.github.io/Logging_0461/klagomålsmail/A 35182-2024 FSC-klagomål mail.docx", "A 35182-2024")</f>
        <v/>
      </c>
      <c r="AA9">
        <f>HYPERLINK("https://klasma.github.io/Logging_0461/tillsyn/A 35182-2024 tillsynsbegäran.docx", "A 35182-2024")</f>
        <v/>
      </c>
      <c r="AB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46220</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Y10">
        <f>HYPERLINK("https://klasma.github.io/Logging_0461/klagomål/A 59619-2021 FSC-klagomål.docx", "A 59619-2021")</f>
        <v/>
      </c>
      <c r="Z10">
        <f>HYPERLINK("https://klasma.github.io/Logging_0461/klagomålsmail/A 59619-2021 FSC-klagomål mail.docx", "A 59619-2021")</f>
        <v/>
      </c>
      <c r="AA10">
        <f>HYPERLINK("https://klasma.github.io/Logging_0461/tillsyn/A 59619-2021 tillsynsbegäran.docx", "A 59619-2021")</f>
        <v/>
      </c>
      <c r="AB10">
        <f>HYPERLINK("https://klasma.github.io/Logging_0461/tillsynsmail/A 59619-2021 tillsynsbegäran mail.docx", "A 59619-2021")</f>
        <v/>
      </c>
      <c r="AC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46220</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Y11">
        <f>HYPERLINK("https://klasma.github.io/Logging_0461/klagomål/S 1455-2025 FSC-klagomål.docx", "S 1455-2025")</f>
        <v/>
      </c>
      <c r="Z11">
        <f>HYPERLINK("https://klasma.github.io/Logging_0461/klagomålsmail/S 1455-2025 FSC-klagomål mail.docx", "S 1455-2025")</f>
        <v/>
      </c>
      <c r="AA11">
        <f>HYPERLINK("https://klasma.github.io/Logging_0461/tillsyn/S 1455-2025 tillsynsbegäran.docx", "S 1455-2025")</f>
        <v/>
      </c>
      <c r="AB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46220</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s="2" t="inlineStr">
        <is>
          <t>Motaggsvamp
Ullticka
Vedskivlav
Björksplintborre
Blomkålssvamp
Bronshjon</t>
        </is>
      </c>
      <c r="V12">
        <f>HYPERLINK("https://klasma.github.io/Logging_0461/artfynd/A 49248-2025 artfynd.xlsx", "A 49248-2025")</f>
        <v/>
      </c>
      <c r="W12">
        <f>HYPERLINK("https://klasma.github.io/Logging_0461/kartor/A 49248-2025 karta.png", "A 49248-2025")</f>
        <v/>
      </c>
      <c r="Y12">
        <f>HYPERLINK("https://klasma.github.io/Logging_0461/klagomål/A 49248-2025 FSC-klagomål.docx", "A 49248-2025")</f>
        <v/>
      </c>
      <c r="Z12">
        <f>HYPERLINK("https://klasma.github.io/Logging_0461/klagomålsmail/A 49248-2025 FSC-klagomål mail.docx", "A 49248-2025")</f>
        <v/>
      </c>
      <c r="AA12">
        <f>HYPERLINK("https://klasma.github.io/Logging_0461/tillsyn/A 49248-2025 tillsynsbegäran.docx", "A 49248-2025")</f>
        <v/>
      </c>
      <c r="AB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46220</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s="2" t="inlineStr">
        <is>
          <t>Dropptaggsvamp
Motaggsvamp
Orange taggsvamp
Skogshare
Tallticka
Orre</t>
        </is>
      </c>
      <c r="V13">
        <f>HYPERLINK("https://klasma.github.io/Logging_0461/artfynd/A 20124-2022 artfynd.xlsx", "A 20124-2022")</f>
        <v/>
      </c>
      <c r="W13">
        <f>HYPERLINK("https://klasma.github.io/Logging_0461/kartor/A 20124-2022 karta.png", "A 20124-2022")</f>
        <v/>
      </c>
      <c r="Y13">
        <f>HYPERLINK("https://klasma.github.io/Logging_0461/klagomål/A 20124-2022 FSC-klagomål.docx", "A 20124-2022")</f>
        <v/>
      </c>
      <c r="Z13">
        <f>HYPERLINK("https://klasma.github.io/Logging_0461/klagomålsmail/A 20124-2022 FSC-klagomål mail.docx", "A 20124-2022")</f>
        <v/>
      </c>
      <c r="AA13">
        <f>HYPERLINK("https://klasma.github.io/Logging_0461/tillsyn/A 20124-2022 tillsynsbegäran.docx", "A 20124-2022")</f>
        <v/>
      </c>
      <c r="AB13">
        <f>HYPERLINK("https://klasma.github.io/Logging_0461/tillsynsmail/A 20124-2022 tillsynsbegäran mail.docx", "A 20124-2022")</f>
        <v/>
      </c>
      <c r="AC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46220</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Y14">
        <f>HYPERLINK("https://klasma.github.io/Logging_0461/klagomål/A 73482-2021 FSC-klagomål.docx", "A 73482-2021")</f>
        <v/>
      </c>
      <c r="Z14">
        <f>HYPERLINK("https://klasma.github.io/Logging_0461/klagomålsmail/A 73482-2021 FSC-klagomål mail.docx", "A 73482-2021")</f>
        <v/>
      </c>
      <c r="AA14">
        <f>HYPERLINK("https://klasma.github.io/Logging_0461/tillsyn/A 73482-2021 tillsynsbegäran.docx", "A 73482-2021")</f>
        <v/>
      </c>
      <c r="AB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46220</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s="2" t="inlineStr">
        <is>
          <t>Åkerkulla
Kungsfågel
Revlummer</t>
        </is>
      </c>
      <c r="V15">
        <f>HYPERLINK("https://klasma.github.io/Logging_0461/artfynd/A 39981-2025 artfynd.xlsx", "A 39981-2025")</f>
        <v/>
      </c>
      <c r="W15">
        <f>HYPERLINK("https://klasma.github.io/Logging_0461/kartor/A 39981-2025 karta.png", "A 39981-2025")</f>
        <v/>
      </c>
      <c r="Y15">
        <f>HYPERLINK("https://klasma.github.io/Logging_0461/klagomål/A 39981-2025 FSC-klagomål.docx", "A 39981-2025")</f>
        <v/>
      </c>
      <c r="Z15">
        <f>HYPERLINK("https://klasma.github.io/Logging_0461/klagomålsmail/A 39981-2025 FSC-klagomål mail.docx", "A 39981-2025")</f>
        <v/>
      </c>
      <c r="AA15">
        <f>HYPERLINK("https://klasma.github.io/Logging_0461/tillsyn/A 39981-2025 tillsynsbegäran.docx", "A 39981-2025")</f>
        <v/>
      </c>
      <c r="AB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46220</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s="2" t="inlineStr">
        <is>
          <t>Slåtterfibbla
Tibast
Blåsippa</t>
        </is>
      </c>
      <c r="V16">
        <f>HYPERLINK("https://klasma.github.io/Logging_0461/artfynd/A 60448-2024 artfynd.xlsx", "A 60448-2024")</f>
        <v/>
      </c>
      <c r="W16">
        <f>HYPERLINK("https://klasma.github.io/Logging_0461/kartor/A 60448-2024 karta.png", "A 60448-2024")</f>
        <v/>
      </c>
      <c r="Y16">
        <f>HYPERLINK("https://klasma.github.io/Logging_0461/klagomål/A 60448-2024 FSC-klagomål.docx", "A 60448-2024")</f>
        <v/>
      </c>
      <c r="Z16">
        <f>HYPERLINK("https://klasma.github.io/Logging_0461/klagomålsmail/A 60448-2024 FSC-klagomål mail.docx", "A 60448-2024")</f>
        <v/>
      </c>
      <c r="AA16">
        <f>HYPERLINK("https://klasma.github.io/Logging_0461/tillsyn/A 60448-2024 tillsynsbegäran.docx", "A 60448-2024")</f>
        <v/>
      </c>
      <c r="AB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46220</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s="2" t="inlineStr">
        <is>
          <t>Grönfink
Järnsparv
Svartvit flugsnappare</t>
        </is>
      </c>
      <c r="V17">
        <f>HYPERLINK("https://klasma.github.io/Logging_0461/artfynd/A 62022-2022 artfynd.xlsx", "A 62022-2022")</f>
        <v/>
      </c>
      <c r="W17">
        <f>HYPERLINK("https://klasma.github.io/Logging_0461/kartor/A 62022-2022 karta.png", "A 62022-2022")</f>
        <v/>
      </c>
      <c r="Y17">
        <f>HYPERLINK("https://klasma.github.io/Logging_0461/klagomål/A 62022-2022 FSC-klagomål.docx", "A 62022-2022")</f>
        <v/>
      </c>
      <c r="Z17">
        <f>HYPERLINK("https://klasma.github.io/Logging_0461/klagomålsmail/A 62022-2022 FSC-klagomål mail.docx", "A 62022-2022")</f>
        <v/>
      </c>
      <c r="AA17">
        <f>HYPERLINK("https://klasma.github.io/Logging_0461/tillsyn/A 62022-2022 tillsynsbegäran.docx", "A 62022-2022")</f>
        <v/>
      </c>
      <c r="AB17">
        <f>HYPERLINK("https://klasma.github.io/Logging_0461/tillsynsmail/A 62022-2022 tillsynsbegäran mail.docx", "A 62022-2022")</f>
        <v/>
      </c>
      <c r="AC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46220</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s="2" t="inlineStr">
        <is>
          <t>Brandnäva
Gullklöver
Svedjenäva</t>
        </is>
      </c>
      <c r="V18">
        <f>HYPERLINK("https://klasma.github.io/Logging_0461/artfynd/A 53063-2023 artfynd.xlsx", "A 53063-2023")</f>
        <v/>
      </c>
      <c r="W18">
        <f>HYPERLINK("https://klasma.github.io/Logging_0461/kartor/A 53063-2023 karta.png", "A 53063-2023")</f>
        <v/>
      </c>
      <c r="Y18">
        <f>HYPERLINK("https://klasma.github.io/Logging_0461/klagomål/A 53063-2023 FSC-klagomål.docx", "A 53063-2023")</f>
        <v/>
      </c>
      <c r="Z18">
        <f>HYPERLINK("https://klasma.github.io/Logging_0461/klagomålsmail/A 53063-2023 FSC-klagomål mail.docx", "A 53063-2023")</f>
        <v/>
      </c>
      <c r="AA18">
        <f>HYPERLINK("https://klasma.github.io/Logging_0461/tillsyn/A 53063-2023 tillsynsbegäran.docx", "A 53063-2023")</f>
        <v/>
      </c>
      <c r="AB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46220</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s="2" t="inlineStr">
        <is>
          <t>Vedskivlav
Blodticka
Mattlummer</t>
        </is>
      </c>
      <c r="V19">
        <f>HYPERLINK("https://klasma.github.io/Logging_0461/artfynd/A 21220-2025 artfynd.xlsx", "A 21220-2025")</f>
        <v/>
      </c>
      <c r="W19">
        <f>HYPERLINK("https://klasma.github.io/Logging_0461/kartor/A 21220-2025 karta.png", "A 21220-2025")</f>
        <v/>
      </c>
      <c r="Y19">
        <f>HYPERLINK("https://klasma.github.io/Logging_0461/klagomål/A 21220-2025 FSC-klagomål.docx", "A 21220-2025")</f>
        <v/>
      </c>
      <c r="Z19">
        <f>HYPERLINK("https://klasma.github.io/Logging_0461/klagomålsmail/A 21220-2025 FSC-klagomål mail.docx", "A 21220-2025")</f>
        <v/>
      </c>
      <c r="AA19">
        <f>HYPERLINK("https://klasma.github.io/Logging_0461/tillsyn/A 21220-2025 tillsynsbegäran.docx", "A 21220-2025")</f>
        <v/>
      </c>
      <c r="AB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46220</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s="2" t="inlineStr">
        <is>
          <t>Vedtrappmossa
Svavelriska</t>
        </is>
      </c>
      <c r="V20">
        <f>HYPERLINK("https://klasma.github.io/Logging_0461/artfynd/A 32252-2022 artfynd.xlsx", "A 32252-2022")</f>
        <v/>
      </c>
      <c r="W20">
        <f>HYPERLINK("https://klasma.github.io/Logging_0461/kartor/A 32252-2022 karta.png", "A 32252-2022")</f>
        <v/>
      </c>
      <c r="Y20">
        <f>HYPERLINK("https://klasma.github.io/Logging_0461/klagomål/A 32252-2022 FSC-klagomål.docx", "A 32252-2022")</f>
        <v/>
      </c>
      <c r="Z20">
        <f>HYPERLINK("https://klasma.github.io/Logging_0461/klagomålsmail/A 32252-2022 FSC-klagomål mail.docx", "A 32252-2022")</f>
        <v/>
      </c>
      <c r="AA20">
        <f>HYPERLINK("https://klasma.github.io/Logging_0461/tillsyn/A 32252-2022 tillsynsbegäran.docx", "A 32252-2022")</f>
        <v/>
      </c>
      <c r="AB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46220</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s="2" t="inlineStr">
        <is>
          <t>Tjockskalig målarmussla
Vanlig groda</t>
        </is>
      </c>
      <c r="V21">
        <f>HYPERLINK("https://klasma.github.io/Logging_0461/artfynd/A 29758-2022 artfynd.xlsx", "A 29758-2022")</f>
        <v/>
      </c>
      <c r="W21">
        <f>HYPERLINK("https://klasma.github.io/Logging_0461/kartor/A 29758-2022 karta.png", "A 29758-2022")</f>
        <v/>
      </c>
      <c r="Y21">
        <f>HYPERLINK("https://klasma.github.io/Logging_0461/klagomål/A 29758-2022 FSC-klagomål.docx", "A 29758-2022")</f>
        <v/>
      </c>
      <c r="Z21">
        <f>HYPERLINK("https://klasma.github.io/Logging_0461/klagomålsmail/A 29758-2022 FSC-klagomål mail.docx", "A 29758-2022")</f>
        <v/>
      </c>
      <c r="AA21">
        <f>HYPERLINK("https://klasma.github.io/Logging_0461/tillsyn/A 29758-2022 tillsynsbegäran.docx", "A 29758-2022")</f>
        <v/>
      </c>
      <c r="AB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46220</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s="2" t="inlineStr">
        <is>
          <t>Streckvaxskivling
Bergjohannesört</t>
        </is>
      </c>
      <c r="V22">
        <f>HYPERLINK("https://klasma.github.io/Logging_0461/artfynd/A 49442-2022 artfynd.xlsx", "A 49442-2022")</f>
        <v/>
      </c>
      <c r="W22">
        <f>HYPERLINK("https://klasma.github.io/Logging_0461/kartor/A 49442-2022 karta.png", "A 49442-2022")</f>
        <v/>
      </c>
      <c r="Y22">
        <f>HYPERLINK("https://klasma.github.io/Logging_0461/klagomål/A 49442-2022 FSC-klagomål.docx", "A 49442-2022")</f>
        <v/>
      </c>
      <c r="Z22">
        <f>HYPERLINK("https://klasma.github.io/Logging_0461/klagomålsmail/A 49442-2022 FSC-klagomål mail.docx", "A 49442-2022")</f>
        <v/>
      </c>
      <c r="AA22">
        <f>HYPERLINK("https://klasma.github.io/Logging_0461/tillsyn/A 49442-2022 tillsynsbegäran.docx", "A 49442-2022")</f>
        <v/>
      </c>
      <c r="AB22">
        <f>HYPERLINK("https://klasma.github.io/Logging_0461/tillsynsmail/A 49442-2022 tillsynsbegäran mail.docx", "A 49442-2022")</f>
        <v/>
      </c>
    </row>
    <row r="23" ht="15" customHeight="1">
      <c r="A23" t="inlineStr">
        <is>
          <t>A 54140-2025</t>
        </is>
      </c>
      <c r="B23" t="inlineStr">
        <is>
          <t>avverkningsanmälan</t>
        </is>
      </c>
      <c r="C23" t="inlineStr">
        <is>
          <t>Föryngringsavverkning</t>
        </is>
      </c>
      <c r="D23" s="1" t="n">
        <v>45964</v>
      </c>
      <c r="E23" s="1" t="n">
        <v>46220</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s="2" t="inlineStr">
        <is>
          <t>Dvärgbägarlav
Björksplintborre</t>
        </is>
      </c>
      <c r="V23">
        <f>HYPERLINK("https://klasma.github.io/Logging_0461/artfynd/A 54140-2025 artfynd.xlsx", "A 54140-2025")</f>
        <v/>
      </c>
      <c r="W23">
        <f>HYPERLINK("https://klasma.github.io/Logging_0461/kartor/A 54140-2025 karta.png", "A 54140-2025")</f>
        <v/>
      </c>
      <c r="Y23">
        <f>HYPERLINK("https://klasma.github.io/Logging_0461/klagomål/A 54140-2025 FSC-klagomål.docx", "A 54140-2025")</f>
        <v/>
      </c>
      <c r="Z23">
        <f>HYPERLINK("https://klasma.github.io/Logging_0461/klagomålsmail/A 54140-2025 FSC-klagomål mail.docx", "A 54140-2025")</f>
        <v/>
      </c>
      <c r="AA23">
        <f>HYPERLINK("https://klasma.github.io/Logging_0461/tillsyn/A 54140-2025 tillsynsbegäran.docx", "A 54140-2025")</f>
        <v/>
      </c>
      <c r="AB23">
        <f>HYPERLINK("https://klasma.github.io/Logging_0461/tillsynsmail/A 54140-2025 tillsynsbegäran mail.docx", "A 54140-2025")</f>
        <v/>
      </c>
    </row>
    <row r="24" ht="15" customHeight="1">
      <c r="A24" t="inlineStr">
        <is>
          <t>A 59407-2025</t>
        </is>
      </c>
      <c r="B24" t="inlineStr">
        <is>
          <t>avverkningsanmälan</t>
        </is>
      </c>
      <c r="C24" t="inlineStr">
        <is>
          <t>Föryngringsavverkning</t>
        </is>
      </c>
      <c r="D24" s="1" t="n">
        <v>45989</v>
      </c>
      <c r="E24" s="1" t="n">
        <v>46220</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s="2" t="inlineStr">
        <is>
          <t>Blåsippa
Gullviva</t>
        </is>
      </c>
      <c r="V24">
        <f>HYPERLINK("https://klasma.github.io/Logging_0461/artfynd/A 59407-2025 artfynd.xlsx", "A 59407-2025")</f>
        <v/>
      </c>
      <c r="W24">
        <f>HYPERLINK("https://klasma.github.io/Logging_0461/kartor/A 59407-2025 karta.png", "A 59407-2025")</f>
        <v/>
      </c>
      <c r="Y24">
        <f>HYPERLINK("https://klasma.github.io/Logging_0461/klagomål/A 59407-2025 FSC-klagomål.docx", "A 59407-2025")</f>
        <v/>
      </c>
      <c r="Z24">
        <f>HYPERLINK("https://klasma.github.io/Logging_0461/klagomålsmail/A 59407-2025 FSC-klagomål mail.docx", "A 59407-2025")</f>
        <v/>
      </c>
      <c r="AA24">
        <f>HYPERLINK("https://klasma.github.io/Logging_0461/tillsyn/A 59407-2025 tillsynsbegäran.docx", "A 59407-2025")</f>
        <v/>
      </c>
      <c r="AB24">
        <f>HYPERLINK("https://klasma.github.io/Logging_0461/tillsynsmail/A 59407-2025 tillsynsbegäran mail.docx", "A 59407-2025")</f>
        <v/>
      </c>
    </row>
    <row r="25" ht="15" customHeight="1">
      <c r="A25" t="inlineStr">
        <is>
          <t>A 56791-2022</t>
        </is>
      </c>
      <c r="B25" t="inlineStr">
        <is>
          <t>avverkningsanmälan</t>
        </is>
      </c>
      <c r="C25" t="inlineStr">
        <is>
          <t>Föryngringsavverkning</t>
        </is>
      </c>
      <c r="D25" s="1" t="n">
        <v>44894</v>
      </c>
      <c r="E25" s="1" t="n">
        <v>46220</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s="2" t="inlineStr">
        <is>
          <t>Vedtrappmossa
Svavelriska</t>
        </is>
      </c>
      <c r="V25">
        <f>HYPERLINK("https://klasma.github.io/Logging_0461/artfynd/A 56791-2022 artfynd.xlsx", "A 56791-2022")</f>
        <v/>
      </c>
      <c r="W25">
        <f>HYPERLINK("https://klasma.github.io/Logging_0461/kartor/A 56791-2022 karta.png", "A 56791-2022")</f>
        <v/>
      </c>
      <c r="Y25">
        <f>HYPERLINK("https://klasma.github.io/Logging_0461/klagomål/A 56791-2022 FSC-klagomål.docx", "A 56791-2022")</f>
        <v/>
      </c>
      <c r="Z25">
        <f>HYPERLINK("https://klasma.github.io/Logging_0461/klagomålsmail/A 56791-2022 FSC-klagomål mail.docx", "A 56791-2022")</f>
        <v/>
      </c>
      <c r="AA25">
        <f>HYPERLINK("https://klasma.github.io/Logging_0461/tillsyn/A 56791-2022 tillsynsbegäran.docx", "A 56791-2022")</f>
        <v/>
      </c>
      <c r="AB25">
        <f>HYPERLINK("https://klasma.github.io/Logging_0461/tillsynsmail/A 56791-2022 tillsynsbegäran mail.docx", "A 56791-2022")</f>
        <v/>
      </c>
    </row>
    <row r="26" ht="15" customHeight="1">
      <c r="A26" t="inlineStr">
        <is>
          <t>A 51217-2024</t>
        </is>
      </c>
      <c r="B26" t="inlineStr">
        <is>
          <t>avverkningsanmälan</t>
        </is>
      </c>
      <c r="C26" t="inlineStr">
        <is>
          <t>Föryngringsavverkning</t>
        </is>
      </c>
      <c r="D26" s="1" t="n">
        <v>45603</v>
      </c>
      <c r="E26" s="1" t="n">
        <v>46220</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s="2" t="inlineStr">
        <is>
          <t>Tibast
Revlummer</t>
        </is>
      </c>
      <c r="V26">
        <f>HYPERLINK("https://klasma.github.io/Logging_0461/artfynd/A 51217-2024 artfynd.xlsx", "A 51217-2024")</f>
        <v/>
      </c>
      <c r="W26">
        <f>HYPERLINK("https://klasma.github.io/Logging_0461/kartor/A 51217-2024 karta.png", "A 51217-2024")</f>
        <v/>
      </c>
      <c r="Y26">
        <f>HYPERLINK("https://klasma.github.io/Logging_0461/klagomål/A 51217-2024 FSC-klagomål.docx", "A 51217-2024")</f>
        <v/>
      </c>
      <c r="Z26">
        <f>HYPERLINK("https://klasma.github.io/Logging_0461/klagomålsmail/A 51217-2024 FSC-klagomål mail.docx", "A 51217-2024")</f>
        <v/>
      </c>
      <c r="AA26">
        <f>HYPERLINK("https://klasma.github.io/Logging_0461/tillsyn/A 51217-2024 tillsynsbegäran.docx", "A 51217-2024")</f>
        <v/>
      </c>
      <c r="AB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46220</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Y27">
        <f>HYPERLINK("https://klasma.github.io/Logging_0461/klagomål/A 44782-2022 FSC-klagomål.docx", "A 44782-2022")</f>
        <v/>
      </c>
      <c r="Z27">
        <f>HYPERLINK("https://klasma.github.io/Logging_0461/klagomålsmail/A 44782-2022 FSC-klagomål mail.docx", "A 44782-2022")</f>
        <v/>
      </c>
      <c r="AA27">
        <f>HYPERLINK("https://klasma.github.io/Logging_0461/tillsyn/A 44782-2022 tillsynsbegäran.docx", "A 44782-2022")</f>
        <v/>
      </c>
      <c r="AB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46220</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s="2" t="inlineStr">
        <is>
          <t>Sotlav</t>
        </is>
      </c>
      <c r="V28">
        <f>HYPERLINK("https://klasma.github.io/Logging_0461/artfynd/A 42227-2022 artfynd.xlsx", "A 42227-2022")</f>
        <v/>
      </c>
      <c r="W28">
        <f>HYPERLINK("https://klasma.github.io/Logging_0461/kartor/A 42227-2022 karta.png", "A 42227-2022")</f>
        <v/>
      </c>
      <c r="Y28">
        <f>HYPERLINK("https://klasma.github.io/Logging_0461/klagomål/A 42227-2022 FSC-klagomål.docx", "A 42227-2022")</f>
        <v/>
      </c>
      <c r="Z28">
        <f>HYPERLINK("https://klasma.github.io/Logging_0461/klagomålsmail/A 42227-2022 FSC-klagomål mail.docx", "A 42227-2022")</f>
        <v/>
      </c>
      <c r="AA28">
        <f>HYPERLINK("https://klasma.github.io/Logging_0461/tillsyn/A 42227-2022 tillsynsbegäran.docx", "A 42227-2022")</f>
        <v/>
      </c>
      <c r="AB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46220</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s="2" t="inlineStr">
        <is>
          <t>Fläcknycklar</t>
        </is>
      </c>
      <c r="V29">
        <f>HYPERLINK("https://klasma.github.io/Logging_0461/artfynd/A 2012-2022 artfynd.xlsx", "A 2012-2022")</f>
        <v/>
      </c>
      <c r="W29">
        <f>HYPERLINK("https://klasma.github.io/Logging_0461/kartor/A 2012-2022 karta.png", "A 2012-2022")</f>
        <v/>
      </c>
      <c r="Y29">
        <f>HYPERLINK("https://klasma.github.io/Logging_0461/klagomål/A 2012-2022 FSC-klagomål.docx", "A 2012-2022")</f>
        <v/>
      </c>
      <c r="Z29">
        <f>HYPERLINK("https://klasma.github.io/Logging_0461/klagomålsmail/A 2012-2022 FSC-klagomål mail.docx", "A 2012-2022")</f>
        <v/>
      </c>
      <c r="AA29">
        <f>HYPERLINK("https://klasma.github.io/Logging_0461/tillsyn/A 2012-2022 tillsynsbegäran.docx", "A 2012-2022")</f>
        <v/>
      </c>
      <c r="AB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46220</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s="2" t="inlineStr">
        <is>
          <t>Järnsparv</t>
        </is>
      </c>
      <c r="V30">
        <f>HYPERLINK("https://klasma.github.io/Logging_0461/artfynd/A 9134-2024 artfynd.xlsx", "A 9134-2024")</f>
        <v/>
      </c>
      <c r="W30">
        <f>HYPERLINK("https://klasma.github.io/Logging_0461/kartor/A 9134-2024 karta.png", "A 9134-2024")</f>
        <v/>
      </c>
      <c r="Y30">
        <f>HYPERLINK("https://klasma.github.io/Logging_0461/klagomål/A 9134-2024 FSC-klagomål.docx", "A 9134-2024")</f>
        <v/>
      </c>
      <c r="Z30">
        <f>HYPERLINK("https://klasma.github.io/Logging_0461/klagomålsmail/A 9134-2024 FSC-klagomål mail.docx", "A 9134-2024")</f>
        <v/>
      </c>
      <c r="AA30">
        <f>HYPERLINK("https://klasma.github.io/Logging_0461/tillsyn/A 9134-2024 tillsynsbegäran.docx", "A 9134-2024")</f>
        <v/>
      </c>
      <c r="AB30">
        <f>HYPERLINK("https://klasma.github.io/Logging_0461/tillsynsmail/A 9134-2024 tillsynsbegäran mail.docx", "A 9134-2024")</f>
        <v/>
      </c>
      <c r="AC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46220</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s="2" t="inlineStr">
        <is>
          <t>Tjockskalig målarmussla</t>
        </is>
      </c>
      <c r="V31">
        <f>HYPERLINK("https://klasma.github.io/Logging_0461/artfynd/A 18902-2023 artfynd.xlsx", "A 18902-2023")</f>
        <v/>
      </c>
      <c r="W31">
        <f>HYPERLINK("https://klasma.github.io/Logging_0461/kartor/A 18902-2023 karta.png", "A 18902-2023")</f>
        <v/>
      </c>
      <c r="Y31">
        <f>HYPERLINK("https://klasma.github.io/Logging_0461/klagomål/A 18902-2023 FSC-klagomål.docx", "A 18902-2023")</f>
        <v/>
      </c>
      <c r="Z31">
        <f>HYPERLINK("https://klasma.github.io/Logging_0461/klagomålsmail/A 18902-2023 FSC-klagomål mail.docx", "A 18902-2023")</f>
        <v/>
      </c>
      <c r="AA31">
        <f>HYPERLINK("https://klasma.github.io/Logging_0461/tillsyn/A 18902-2023 tillsynsbegäran.docx", "A 18902-2023")</f>
        <v/>
      </c>
      <c r="AB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46220</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s="2" t="inlineStr">
        <is>
          <t>Skogshare</t>
        </is>
      </c>
      <c r="V32">
        <f>HYPERLINK("https://klasma.github.io/Logging_0461/artfynd/A 50242-2025 artfynd.xlsx", "A 50242-2025")</f>
        <v/>
      </c>
      <c r="W32">
        <f>HYPERLINK("https://klasma.github.io/Logging_0461/kartor/A 50242-2025 karta.png", "A 50242-2025")</f>
        <v/>
      </c>
      <c r="Y32">
        <f>HYPERLINK("https://klasma.github.io/Logging_0461/klagomål/A 50242-2025 FSC-klagomål.docx", "A 50242-2025")</f>
        <v/>
      </c>
      <c r="Z32">
        <f>HYPERLINK("https://klasma.github.io/Logging_0461/klagomålsmail/A 50242-2025 FSC-klagomål mail.docx", "A 50242-2025")</f>
        <v/>
      </c>
      <c r="AA32">
        <f>HYPERLINK("https://klasma.github.io/Logging_0461/tillsyn/A 50242-2025 tillsynsbegäran.docx", "A 50242-2025")</f>
        <v/>
      </c>
      <c r="AB32">
        <f>HYPERLINK("https://klasma.github.io/Logging_0461/tillsynsmail/A 50242-2025 tillsynsbegäran mail.docx", "A 50242-2025")</f>
        <v/>
      </c>
    </row>
    <row r="33" ht="15" customHeight="1">
      <c r="A33" t="inlineStr">
        <is>
          <t>A 65082-2023</t>
        </is>
      </c>
      <c r="B33" t="inlineStr">
        <is>
          <t>avverkningsanmälan</t>
        </is>
      </c>
      <c r="C33" t="inlineStr">
        <is>
          <t>Föryngringsavverkning</t>
        </is>
      </c>
      <c r="D33" s="1" t="n">
        <v>45288</v>
      </c>
      <c r="E33" s="1" t="n">
        <v>46220</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s="2" t="inlineStr">
        <is>
          <t>Svedjenäva</t>
        </is>
      </c>
      <c r="V33">
        <f>HYPERLINK("https://klasma.github.io/Logging_0461/artfynd/A 65082-2023 artfynd.xlsx", "A 65082-2023")</f>
        <v/>
      </c>
      <c r="W33">
        <f>HYPERLINK("https://klasma.github.io/Logging_0461/kartor/A 65082-2023 karta.png", "A 65082-2023")</f>
        <v/>
      </c>
      <c r="Y33">
        <f>HYPERLINK("https://klasma.github.io/Logging_0461/klagomål/A 65082-2023 FSC-klagomål.docx", "A 65082-2023")</f>
        <v/>
      </c>
      <c r="Z33">
        <f>HYPERLINK("https://klasma.github.io/Logging_0461/klagomålsmail/A 65082-2023 FSC-klagomål mail.docx", "A 65082-2023")</f>
        <v/>
      </c>
      <c r="AA33">
        <f>HYPERLINK("https://klasma.github.io/Logging_0461/tillsyn/A 65082-2023 tillsynsbegäran.docx", "A 65082-2023")</f>
        <v/>
      </c>
      <c r="AB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46220</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s="2" t="inlineStr">
        <is>
          <t>Orange taggsvamp</t>
        </is>
      </c>
      <c r="V34">
        <f>HYPERLINK("https://klasma.github.io/Logging_0461/artfynd/A 62007-2022 artfynd.xlsx", "A 62007-2022")</f>
        <v/>
      </c>
      <c r="W34">
        <f>HYPERLINK("https://klasma.github.io/Logging_0461/kartor/A 62007-2022 karta.png", "A 62007-2022")</f>
        <v/>
      </c>
      <c r="Y34">
        <f>HYPERLINK("https://klasma.github.io/Logging_0461/klagomål/A 62007-2022 FSC-klagomål.docx", "A 62007-2022")</f>
        <v/>
      </c>
      <c r="Z34">
        <f>HYPERLINK("https://klasma.github.io/Logging_0461/klagomålsmail/A 62007-2022 FSC-klagomål mail.docx", "A 62007-2022")</f>
        <v/>
      </c>
      <c r="AA34">
        <f>HYPERLINK("https://klasma.github.io/Logging_0461/tillsyn/A 62007-2022 tillsynsbegäran.docx", "A 62007-2022")</f>
        <v/>
      </c>
      <c r="AB34">
        <f>HYPERLINK("https://klasma.github.io/Logging_0461/tillsynsmail/A 62007-2022 tillsynsbegäran mail.docx", "A 62007-2022")</f>
        <v/>
      </c>
    </row>
    <row r="35" ht="15" customHeight="1">
      <c r="A35" t="inlineStr">
        <is>
          <t>A 43246-2024</t>
        </is>
      </c>
      <c r="B35" t="inlineStr">
        <is>
          <t>avverkningsanmälan</t>
        </is>
      </c>
      <c r="C35" t="inlineStr">
        <is>
          <t>Föryngringsavverkning</t>
        </is>
      </c>
      <c r="D35" s="1" t="n">
        <v>45568</v>
      </c>
      <c r="E35" s="1" t="n">
        <v>46220</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s="2" t="inlineStr">
        <is>
          <t>Motaggsvamp</t>
        </is>
      </c>
      <c r="V35">
        <f>HYPERLINK("https://klasma.github.io/Logging_0461/artfynd/A 43246-2024 artfynd.xlsx", "A 43246-2024")</f>
        <v/>
      </c>
      <c r="W35">
        <f>HYPERLINK("https://klasma.github.io/Logging_0461/kartor/A 43246-2024 karta.png", "A 43246-2024")</f>
        <v/>
      </c>
      <c r="Y35">
        <f>HYPERLINK("https://klasma.github.io/Logging_0461/klagomål/A 43246-2024 FSC-klagomål.docx", "A 43246-2024")</f>
        <v/>
      </c>
      <c r="Z35">
        <f>HYPERLINK("https://klasma.github.io/Logging_0461/klagomålsmail/A 43246-2024 FSC-klagomål mail.docx", "A 43246-2024")</f>
        <v/>
      </c>
      <c r="AA35">
        <f>HYPERLINK("https://klasma.github.io/Logging_0461/tillsyn/A 43246-2024 tillsynsbegäran.docx", "A 43246-2024")</f>
        <v/>
      </c>
      <c r="AB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46220</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s="2" t="inlineStr">
        <is>
          <t>Gullklöver</t>
        </is>
      </c>
      <c r="V36">
        <f>HYPERLINK("https://klasma.github.io/Logging_0461/artfynd/A 38379-2024 artfynd.xlsx", "A 38379-2024")</f>
        <v/>
      </c>
      <c r="W36">
        <f>HYPERLINK("https://klasma.github.io/Logging_0461/kartor/A 38379-2024 karta.png", "A 38379-2024")</f>
        <v/>
      </c>
      <c r="Y36">
        <f>HYPERLINK("https://klasma.github.io/Logging_0461/klagomål/A 38379-2024 FSC-klagomål.docx", "A 38379-2024")</f>
        <v/>
      </c>
      <c r="Z36">
        <f>HYPERLINK("https://klasma.github.io/Logging_0461/klagomålsmail/A 38379-2024 FSC-klagomål mail.docx", "A 38379-2024")</f>
        <v/>
      </c>
      <c r="AA36">
        <f>HYPERLINK("https://klasma.github.io/Logging_0461/tillsyn/A 38379-2024 tillsynsbegäran.docx", "A 38379-2024")</f>
        <v/>
      </c>
      <c r="AB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46220</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s="2" t="inlineStr">
        <is>
          <t>Jungfrulin</t>
        </is>
      </c>
      <c r="V37">
        <f>HYPERLINK("https://klasma.github.io/Logging_0461/artfynd/A 7794-2023 artfynd.xlsx", "A 7794-2023")</f>
        <v/>
      </c>
      <c r="W37">
        <f>HYPERLINK("https://klasma.github.io/Logging_0461/kartor/A 7794-2023 karta.png", "A 7794-2023")</f>
        <v/>
      </c>
      <c r="Y37">
        <f>HYPERLINK("https://klasma.github.io/Logging_0461/klagomål/A 7794-2023 FSC-klagomål.docx", "A 7794-2023")</f>
        <v/>
      </c>
      <c r="Z37">
        <f>HYPERLINK("https://klasma.github.io/Logging_0461/klagomålsmail/A 7794-2023 FSC-klagomål mail.docx", "A 7794-2023")</f>
        <v/>
      </c>
      <c r="AA37">
        <f>HYPERLINK("https://klasma.github.io/Logging_0461/tillsyn/A 7794-2023 tillsynsbegäran.docx", "A 7794-2023")</f>
        <v/>
      </c>
      <c r="AB37">
        <f>HYPERLINK("https://klasma.github.io/Logging_0461/tillsynsmail/A 7794-2023 tillsynsbegäran mail.docx", "A 7794-2023")</f>
        <v/>
      </c>
    </row>
    <row r="38" ht="15" customHeight="1">
      <c r="A38" t="inlineStr">
        <is>
          <t>A 16691-2026</t>
        </is>
      </c>
      <c r="B38" t="inlineStr">
        <is>
          <t>avverkningsanmälan</t>
        </is>
      </c>
      <c r="C38" t="inlineStr">
        <is>
          <t>Föryngringsavverkning</t>
        </is>
      </c>
      <c r="D38" s="1" t="n">
        <v>46112</v>
      </c>
      <c r="E38" s="1" t="n">
        <v>46220</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s="2" t="inlineStr">
        <is>
          <t>Tallticka</t>
        </is>
      </c>
      <c r="V38">
        <f>HYPERLINK("https://klasma.github.io/Logging_0461/artfynd/A 16691-2026 artfynd.xlsx", "A 16691-2026")</f>
        <v/>
      </c>
      <c r="W38">
        <f>HYPERLINK("https://klasma.github.io/Logging_0461/kartor/A 16691-2026 karta.png", "A 16691-2026")</f>
        <v/>
      </c>
      <c r="Y38">
        <f>HYPERLINK("https://klasma.github.io/Logging_0461/klagomål/A 16691-2026 FSC-klagomål.docx", "A 16691-2026")</f>
        <v/>
      </c>
      <c r="Z38">
        <f>HYPERLINK("https://klasma.github.io/Logging_0461/klagomålsmail/A 16691-2026 FSC-klagomål mail.docx", "A 16691-2026")</f>
        <v/>
      </c>
      <c r="AA38">
        <f>HYPERLINK("https://klasma.github.io/Logging_0461/tillsyn/A 16691-2026 tillsynsbegäran.docx", "A 16691-2026")</f>
        <v/>
      </c>
      <c r="AB38">
        <f>HYPERLINK("https://klasma.github.io/Logging_0461/tillsynsmail/A 16691-2026 tillsynsbegäran mail.docx", "A 16691-2026")</f>
        <v/>
      </c>
    </row>
    <row r="39" ht="15" customHeight="1">
      <c r="A39" t="inlineStr">
        <is>
          <t>A 7661-2023</t>
        </is>
      </c>
      <c r="B39" t="inlineStr">
        <is>
          <t>avverkningsanmälan</t>
        </is>
      </c>
      <c r="C39" t="inlineStr">
        <is>
          <t>Föryngringsavverkning</t>
        </is>
      </c>
      <c r="D39" s="1" t="n">
        <v>44972</v>
      </c>
      <c r="E39" s="1" t="n">
        <v>46220</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s="2" t="inlineStr">
        <is>
          <t>Blåsippa</t>
        </is>
      </c>
      <c r="V39">
        <f>HYPERLINK("https://klasma.github.io/Logging_0461/artfynd/A 7661-2023 artfynd.xlsx", "A 7661-2023")</f>
        <v/>
      </c>
      <c r="W39">
        <f>HYPERLINK("https://klasma.github.io/Logging_0461/kartor/A 7661-2023 karta.png", "A 7661-2023")</f>
        <v/>
      </c>
      <c r="Y39">
        <f>HYPERLINK("https://klasma.github.io/Logging_0461/klagomål/A 7661-2023 FSC-klagomål.docx", "A 7661-2023")</f>
        <v/>
      </c>
      <c r="Z39">
        <f>HYPERLINK("https://klasma.github.io/Logging_0461/klagomålsmail/A 7661-2023 FSC-klagomål mail.docx", "A 7661-2023")</f>
        <v/>
      </c>
      <c r="AA39">
        <f>HYPERLINK("https://klasma.github.io/Logging_0461/tillsyn/A 7661-2023 tillsynsbegäran.docx", "A 7661-2023")</f>
        <v/>
      </c>
      <c r="AB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46220</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s="2" t="inlineStr">
        <is>
          <t>Zontaggsvamp</t>
        </is>
      </c>
      <c r="V40">
        <f>HYPERLINK("https://klasma.github.io/Logging_0461/artfynd/A 9303-2023 artfynd.xlsx", "A 9303-2023")</f>
        <v/>
      </c>
      <c r="W40">
        <f>HYPERLINK("https://klasma.github.io/Logging_0461/kartor/A 9303-2023 karta.png", "A 9303-2023")</f>
        <v/>
      </c>
      <c r="Y40">
        <f>HYPERLINK("https://klasma.github.io/Logging_0461/klagomål/A 9303-2023 FSC-klagomål.docx", "A 9303-2023")</f>
        <v/>
      </c>
      <c r="Z40">
        <f>HYPERLINK("https://klasma.github.io/Logging_0461/klagomålsmail/A 9303-2023 FSC-klagomål mail.docx", "A 9303-2023")</f>
        <v/>
      </c>
      <c r="AA40">
        <f>HYPERLINK("https://klasma.github.io/Logging_0461/tillsyn/A 9303-2023 tillsynsbegäran.docx", "A 9303-2023")</f>
        <v/>
      </c>
      <c r="AB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46220</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s="2" t="inlineStr">
        <is>
          <t>Mattlummer</t>
        </is>
      </c>
      <c r="V41">
        <f>HYPERLINK("https://klasma.github.io/Logging_0461/artfynd/A 33825-2022 artfynd.xlsx", "A 33825-2022")</f>
        <v/>
      </c>
      <c r="W41">
        <f>HYPERLINK("https://klasma.github.io/Logging_0461/kartor/A 33825-2022 karta.png", "A 33825-2022")</f>
        <v/>
      </c>
      <c r="Y41">
        <f>HYPERLINK("https://klasma.github.io/Logging_0461/klagomål/A 33825-2022 FSC-klagomål.docx", "A 33825-2022")</f>
        <v/>
      </c>
      <c r="Z41">
        <f>HYPERLINK("https://klasma.github.io/Logging_0461/klagomålsmail/A 33825-2022 FSC-klagomål mail.docx", "A 33825-2022")</f>
        <v/>
      </c>
      <c r="AA41">
        <f>HYPERLINK("https://klasma.github.io/Logging_0461/tillsyn/A 33825-2022 tillsynsbegäran.docx", "A 33825-2022")</f>
        <v/>
      </c>
      <c r="AB41">
        <f>HYPERLINK("https://klasma.github.io/Logging_0461/tillsynsmail/A 33825-2022 tillsynsbegäran mail.docx", "A 33825-2022")</f>
        <v/>
      </c>
    </row>
    <row r="42" ht="15" customHeight="1">
      <c r="A42" t="inlineStr">
        <is>
          <t>A 39433-2024</t>
        </is>
      </c>
      <c r="B42" t="inlineStr">
        <is>
          <t>avverkningsanmälan</t>
        </is>
      </c>
      <c r="C42" t="inlineStr">
        <is>
          <t>Föryngringsavverkning</t>
        </is>
      </c>
      <c r="D42" s="1" t="n">
        <v>45551</v>
      </c>
      <c r="E42" s="1" t="n">
        <v>46220</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s="2" t="inlineStr">
        <is>
          <t>Grön sköldmossa</t>
        </is>
      </c>
      <c r="V42">
        <f>HYPERLINK("https://klasma.github.io/Logging_0461/artfynd/A 39433-2024 artfynd.xlsx", "A 39433-2024")</f>
        <v/>
      </c>
      <c r="W42">
        <f>HYPERLINK("https://klasma.github.io/Logging_0461/kartor/A 39433-2024 karta.png", "A 39433-2024")</f>
        <v/>
      </c>
      <c r="Y42">
        <f>HYPERLINK("https://klasma.github.io/Logging_0461/klagomål/A 39433-2024 FSC-klagomål.docx", "A 39433-2024")</f>
        <v/>
      </c>
      <c r="Z42">
        <f>HYPERLINK("https://klasma.github.io/Logging_0461/klagomålsmail/A 39433-2024 FSC-klagomål mail.docx", "A 39433-2024")</f>
        <v/>
      </c>
      <c r="AA42">
        <f>HYPERLINK("https://klasma.github.io/Logging_0461/tillsyn/A 39433-2024 tillsynsbegäran.docx", "A 39433-2024")</f>
        <v/>
      </c>
      <c r="AB42">
        <f>HYPERLINK("https://klasma.github.io/Logging_0461/tillsynsmail/A 39433-2024 tillsynsbegäran mail.docx", "A 39433-2024")</f>
        <v/>
      </c>
    </row>
    <row r="43" ht="15" customHeight="1">
      <c r="A43" t="inlineStr">
        <is>
          <t>A 7681-2023</t>
        </is>
      </c>
      <c r="B43" t="inlineStr">
        <is>
          <t>avverkningsanmälan</t>
        </is>
      </c>
      <c r="C43" t="inlineStr">
        <is>
          <t>Föryngringsavverkning</t>
        </is>
      </c>
      <c r="D43" s="1" t="n">
        <v>44972</v>
      </c>
      <c r="E43" s="1" t="n">
        <v>46220</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s="2" t="inlineStr">
        <is>
          <t>Gullklöver</t>
        </is>
      </c>
      <c r="V43">
        <f>HYPERLINK("https://klasma.github.io/Logging_0461/artfynd/A 7681-2023 artfynd.xlsx", "A 7681-2023")</f>
        <v/>
      </c>
      <c r="W43">
        <f>HYPERLINK("https://klasma.github.io/Logging_0461/kartor/A 7681-2023 karta.png", "A 7681-2023")</f>
        <v/>
      </c>
      <c r="Y43">
        <f>HYPERLINK("https://klasma.github.io/Logging_0461/klagomål/A 7681-2023 FSC-klagomål.docx", "A 7681-2023")</f>
        <v/>
      </c>
      <c r="Z43">
        <f>HYPERLINK("https://klasma.github.io/Logging_0461/klagomålsmail/A 7681-2023 FSC-klagomål mail.docx", "A 7681-2023")</f>
        <v/>
      </c>
      <c r="AA43">
        <f>HYPERLINK("https://klasma.github.io/Logging_0461/tillsyn/A 7681-2023 tillsynsbegäran.docx", "A 7681-2023")</f>
        <v/>
      </c>
      <c r="AB43">
        <f>HYPERLINK("https://klasma.github.io/Logging_0461/tillsynsmail/A 7681-2023 tillsynsbegäran mail.docx", "A 7681-2023")</f>
        <v/>
      </c>
    </row>
    <row r="44" ht="15" customHeight="1">
      <c r="A44" t="inlineStr">
        <is>
          <t>A 62018-2022</t>
        </is>
      </c>
      <c r="B44" t="inlineStr">
        <is>
          <t>avverkningsanmälan</t>
        </is>
      </c>
      <c r="C44" t="inlineStr">
        <is>
          <t>Föryngringsavverkning</t>
        </is>
      </c>
      <c r="D44" s="1" t="n">
        <v>44918</v>
      </c>
      <c r="E44" s="1" t="n">
        <v>46220</v>
      </c>
      <c r="F44" t="inlineStr">
        <is>
          <t>SÖDERMANLANDS LÄN</t>
        </is>
      </c>
      <c r="G44" t="inlineStr">
        <is>
          <t>GNESTA</t>
        </is>
      </c>
      <c r="H44" t="inlineStr">
        <is>
          <t>Kommuner</t>
        </is>
      </c>
      <c r="I44" t="n">
        <v>8.1</v>
      </c>
      <c r="J44" t="n">
        <v>0</v>
      </c>
      <c r="K44" t="n">
        <v>0</v>
      </c>
      <c r="L44" t="n">
        <v>1</v>
      </c>
      <c r="M44" t="n">
        <v>0</v>
      </c>
      <c r="N44" t="n">
        <v>0</v>
      </c>
      <c r="O44" t="n">
        <v>0</v>
      </c>
      <c r="P44" t="n">
        <v>0</v>
      </c>
      <c r="Q44" t="n">
        <v>1</v>
      </c>
      <c r="R44" t="n">
        <v>0</v>
      </c>
      <c r="S44" t="n">
        <v>1</v>
      </c>
      <c r="T44" t="n">
        <v>1</v>
      </c>
      <c r="U44" s="2" t="inlineStr">
        <is>
          <t>Bergjohannesört</t>
        </is>
      </c>
      <c r="V44">
        <f>HYPERLINK("https://klasma.github.io/Logging_0461/artfynd/A 62018-2022 artfynd.xlsx", "A 62018-2022")</f>
        <v/>
      </c>
      <c r="W44">
        <f>HYPERLINK("https://klasma.github.io/Logging_0461/kartor/A 62018-2022 karta.png", "A 62018-2022")</f>
        <v/>
      </c>
      <c r="Y44">
        <f>HYPERLINK("https://klasma.github.io/Logging_0461/klagomål/A 62018-2022 FSC-klagomål.docx", "A 62018-2022")</f>
        <v/>
      </c>
      <c r="Z44">
        <f>HYPERLINK("https://klasma.github.io/Logging_0461/klagomålsmail/A 62018-2022 FSC-klagomål mail.docx", "A 62018-2022")</f>
        <v/>
      </c>
      <c r="AA44">
        <f>HYPERLINK("https://klasma.github.io/Logging_0461/tillsyn/A 62018-2022 tillsynsbegäran.docx", "A 62018-2022")</f>
        <v/>
      </c>
      <c r="AB44">
        <f>HYPERLINK("https://klasma.github.io/Logging_0461/tillsynsmail/A 62018-2022 tillsynsbegäran mail.docx", "A 62018-2022")</f>
        <v/>
      </c>
    </row>
    <row r="45" ht="15" customHeight="1">
      <c r="A45" t="inlineStr">
        <is>
          <t>A 7741-2023</t>
        </is>
      </c>
      <c r="B45" t="inlineStr">
        <is>
          <t>avverkningsanmälan</t>
        </is>
      </c>
      <c r="C45" t="inlineStr">
        <is>
          <t>Föryngringsavverkning</t>
        </is>
      </c>
      <c r="D45" s="1" t="n">
        <v>44973</v>
      </c>
      <c r="E45" s="1" t="n">
        <v>46220</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s="2" t="inlineStr">
        <is>
          <t>Blåsippa</t>
        </is>
      </c>
      <c r="V45">
        <f>HYPERLINK("https://klasma.github.io/Logging_0461/artfynd/A 7741-2023 artfynd.xlsx", "A 7741-2023")</f>
        <v/>
      </c>
      <c r="W45">
        <f>HYPERLINK("https://klasma.github.io/Logging_0461/kartor/A 7741-2023 karta.png", "A 7741-2023")</f>
        <v/>
      </c>
      <c r="Y45">
        <f>HYPERLINK("https://klasma.github.io/Logging_0461/klagomål/A 7741-2023 FSC-klagomål.docx", "A 7741-2023")</f>
        <v/>
      </c>
      <c r="Z45">
        <f>HYPERLINK("https://klasma.github.io/Logging_0461/klagomålsmail/A 7741-2023 FSC-klagomål mail.docx", "A 7741-2023")</f>
        <v/>
      </c>
      <c r="AA45">
        <f>HYPERLINK("https://klasma.github.io/Logging_0461/tillsyn/A 7741-2023 tillsynsbegäran.docx", "A 7741-2023")</f>
        <v/>
      </c>
      <c r="AB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46220</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s="2" t="inlineStr">
        <is>
          <t>Blåsippa</t>
        </is>
      </c>
      <c r="V46">
        <f>HYPERLINK("https://klasma.github.io/Logging_0461/artfynd/A 42552-2023 artfynd.xlsx", "A 42552-2023")</f>
        <v/>
      </c>
      <c r="W46">
        <f>HYPERLINK("https://klasma.github.io/Logging_0461/kartor/A 42552-2023 karta.png", "A 42552-2023")</f>
        <v/>
      </c>
      <c r="Y46">
        <f>HYPERLINK("https://klasma.github.io/Logging_0461/klagomål/A 42552-2023 FSC-klagomål.docx", "A 42552-2023")</f>
        <v/>
      </c>
      <c r="Z46">
        <f>HYPERLINK("https://klasma.github.io/Logging_0461/klagomålsmail/A 42552-2023 FSC-klagomål mail.docx", "A 42552-2023")</f>
        <v/>
      </c>
      <c r="AA46">
        <f>HYPERLINK("https://klasma.github.io/Logging_0461/tillsyn/A 42552-2023 tillsynsbegäran.docx", "A 42552-2023")</f>
        <v/>
      </c>
      <c r="AB46">
        <f>HYPERLINK("https://klasma.github.io/Logging_0461/tillsynsmail/A 42552-2023 tillsynsbegäran mail.docx", "A 42552-2023")</f>
        <v/>
      </c>
    </row>
    <row r="47" ht="15" customHeight="1">
      <c r="A47" t="inlineStr">
        <is>
          <t>A 9502-2026</t>
        </is>
      </c>
      <c r="B47" t="inlineStr">
        <is>
          <t>avverkningsanmälan</t>
        </is>
      </c>
      <c r="C47" t="inlineStr">
        <is>
          <t>Föryngringsavverkning</t>
        </is>
      </c>
      <c r="D47" s="1" t="n">
        <v>46071</v>
      </c>
      <c r="E47" s="1" t="n">
        <v>46220</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s="2" t="inlineStr">
        <is>
          <t>Rödgul trumpetsvamp</t>
        </is>
      </c>
      <c r="V47">
        <f>HYPERLINK("https://klasma.github.io/Logging_0461/artfynd/A 9502-2026 artfynd.xlsx", "A 9502-2026")</f>
        <v/>
      </c>
      <c r="W47">
        <f>HYPERLINK("https://klasma.github.io/Logging_0461/kartor/A 9502-2026 karta.png", "A 9502-2026")</f>
        <v/>
      </c>
      <c r="Y47">
        <f>HYPERLINK("https://klasma.github.io/Logging_0461/klagomål/A 9502-2026 FSC-klagomål.docx", "A 9502-2026")</f>
        <v/>
      </c>
      <c r="Z47">
        <f>HYPERLINK("https://klasma.github.io/Logging_0461/klagomålsmail/A 9502-2026 FSC-klagomål mail.docx", "A 9502-2026")</f>
        <v/>
      </c>
      <c r="AA47">
        <f>HYPERLINK("https://klasma.github.io/Logging_0461/tillsyn/A 9502-2026 tillsynsbegäran.docx", "A 9502-2026")</f>
        <v/>
      </c>
      <c r="AB47">
        <f>HYPERLINK("https://klasma.github.io/Logging_0461/tillsynsmail/A 9502-2026 tillsynsbegäran mail.docx", "A 9502-2026")</f>
        <v/>
      </c>
    </row>
    <row r="48" ht="15" customHeight="1">
      <c r="A48" t="inlineStr">
        <is>
          <t>A 10550-2026</t>
        </is>
      </c>
      <c r="B48" t="inlineStr">
        <is>
          <t>avverkningsanmälan</t>
        </is>
      </c>
      <c r="C48" t="inlineStr">
        <is>
          <t>Föryngringsavverkning</t>
        </is>
      </c>
      <c r="D48" s="1" t="n">
        <v>46077</v>
      </c>
      <c r="E48" s="1" t="n">
        <v>46220</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s="2" t="inlineStr">
        <is>
          <t>Svedjenäva</t>
        </is>
      </c>
      <c r="V48">
        <f>HYPERLINK("https://klasma.github.io/Logging_0461/artfynd/A 10550-2026 artfynd.xlsx", "A 10550-2026")</f>
        <v/>
      </c>
      <c r="W48">
        <f>HYPERLINK("https://klasma.github.io/Logging_0461/kartor/A 10550-2026 karta.png", "A 10550-2026")</f>
        <v/>
      </c>
      <c r="Y48">
        <f>HYPERLINK("https://klasma.github.io/Logging_0461/klagomål/A 10550-2026 FSC-klagomål.docx", "A 10550-2026")</f>
        <v/>
      </c>
      <c r="Z48">
        <f>HYPERLINK("https://klasma.github.io/Logging_0461/klagomålsmail/A 10550-2026 FSC-klagomål mail.docx", "A 10550-2026")</f>
        <v/>
      </c>
      <c r="AA48">
        <f>HYPERLINK("https://klasma.github.io/Logging_0461/tillsyn/A 10550-2026 tillsynsbegäran.docx", "A 10550-2026")</f>
        <v/>
      </c>
      <c r="AB48">
        <f>HYPERLINK("https://klasma.github.io/Logging_0461/tillsynsmail/A 10550-2026 tillsynsbegäran mail.docx", "A 10550-2026")</f>
        <v/>
      </c>
    </row>
    <row r="49" ht="15" customHeight="1">
      <c r="A49" t="inlineStr">
        <is>
          <t>A 40267-2023</t>
        </is>
      </c>
      <c r="B49" t="inlineStr">
        <is>
          <t>avverkningsanmälan</t>
        </is>
      </c>
      <c r="C49" t="inlineStr">
        <is>
          <t>Föryngringsavverkning</t>
        </is>
      </c>
      <c r="D49" s="1" t="n">
        <v>45169</v>
      </c>
      <c r="E49" s="1" t="n">
        <v>46220</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s="2" t="inlineStr">
        <is>
          <t>Blåsippa</t>
        </is>
      </c>
      <c r="V49">
        <f>HYPERLINK("https://klasma.github.io/Logging_0461/artfynd/A 40267-2023 artfynd.xlsx", "A 40267-2023")</f>
        <v/>
      </c>
      <c r="W49">
        <f>HYPERLINK("https://klasma.github.io/Logging_0461/kartor/A 40267-2023 karta.png", "A 40267-2023")</f>
        <v/>
      </c>
      <c r="Y49">
        <f>HYPERLINK("https://klasma.github.io/Logging_0461/klagomål/A 40267-2023 FSC-klagomål.docx", "A 40267-2023")</f>
        <v/>
      </c>
      <c r="Z49">
        <f>HYPERLINK("https://klasma.github.io/Logging_0461/klagomålsmail/A 40267-2023 FSC-klagomål mail.docx", "A 40267-2023")</f>
        <v/>
      </c>
      <c r="AA49">
        <f>HYPERLINK("https://klasma.github.io/Logging_0461/tillsyn/A 40267-2023 tillsynsbegäran.docx", "A 40267-2023")</f>
        <v/>
      </c>
      <c r="AB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46220</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s="2" t="inlineStr">
        <is>
          <t>Rävticka</t>
        </is>
      </c>
      <c r="V50">
        <f>HYPERLINK("https://klasma.github.io/Logging_0461/artfynd/A 8018-2023 artfynd.xlsx", "A 8018-2023")</f>
        <v/>
      </c>
      <c r="W50">
        <f>HYPERLINK("https://klasma.github.io/Logging_0461/kartor/A 8018-2023 karta.png", "A 8018-2023")</f>
        <v/>
      </c>
      <c r="Y50">
        <f>HYPERLINK("https://klasma.github.io/Logging_0461/klagomål/A 8018-2023 FSC-klagomål.docx", "A 8018-2023")</f>
        <v/>
      </c>
      <c r="Z50">
        <f>HYPERLINK("https://klasma.github.io/Logging_0461/klagomålsmail/A 8018-2023 FSC-klagomål mail.docx", "A 8018-2023")</f>
        <v/>
      </c>
      <c r="AA50">
        <f>HYPERLINK("https://klasma.github.io/Logging_0461/tillsyn/A 8018-2023 tillsynsbegäran.docx", "A 8018-2023")</f>
        <v/>
      </c>
      <c r="AB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46220</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s="2" t="inlineStr">
        <is>
          <t>Svinrot</t>
        </is>
      </c>
      <c r="V51">
        <f>HYPERLINK("https://klasma.github.io/Logging_0461/artfynd/A 6395-2023 artfynd.xlsx", "A 6395-2023")</f>
        <v/>
      </c>
      <c r="W51">
        <f>HYPERLINK("https://klasma.github.io/Logging_0461/kartor/A 6395-2023 karta.png", "A 6395-2023")</f>
        <v/>
      </c>
      <c r="Y51">
        <f>HYPERLINK("https://klasma.github.io/Logging_0461/klagomål/A 6395-2023 FSC-klagomål.docx", "A 6395-2023")</f>
        <v/>
      </c>
      <c r="Z51">
        <f>HYPERLINK("https://klasma.github.io/Logging_0461/klagomålsmail/A 6395-2023 FSC-klagomål mail.docx", "A 6395-2023")</f>
        <v/>
      </c>
      <c r="AA51">
        <f>HYPERLINK("https://klasma.github.io/Logging_0461/tillsyn/A 6395-2023 tillsynsbegäran.docx", "A 6395-2023")</f>
        <v/>
      </c>
      <c r="AB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46220</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Y52">
        <f>HYPERLINK("https://klasma.github.io/Logging_0461/klagomål/S 1487-2024 FSC-klagomål.docx", "S 1487-2024")</f>
        <v/>
      </c>
      <c r="Z52">
        <f>HYPERLINK("https://klasma.github.io/Logging_0461/klagomålsmail/S 1487-2024 FSC-klagomål mail.docx", "S 1487-2024")</f>
        <v/>
      </c>
      <c r="AA52">
        <f>HYPERLINK("https://klasma.github.io/Logging_0461/tillsyn/S 1487-2024 tillsynsbegäran.docx", "S 1487-2024")</f>
        <v/>
      </c>
      <c r="AB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46220</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29527-2022</t>
        </is>
      </c>
      <c r="B54" t="inlineStr">
        <is>
          <t>avverkningsanmälan</t>
        </is>
      </c>
      <c r="C54" t="inlineStr">
        <is>
          <t>Föryngringsavverkning</t>
        </is>
      </c>
      <c r="D54" s="1" t="n">
        <v>44742</v>
      </c>
      <c r="E54" s="1" t="n">
        <v>46220</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s="2" t="inlineStr"/>
    </row>
    <row r="55" ht="15" customHeight="1">
      <c r="A55" t="inlineStr">
        <is>
          <t>A 954-2022</t>
        </is>
      </c>
      <c r="B55" t="inlineStr">
        <is>
          <t>avverkningsanmälan</t>
        </is>
      </c>
      <c r="C55" t="inlineStr">
        <is>
          <t>Föryngringsavverkning</t>
        </is>
      </c>
      <c r="D55" s="1" t="n">
        <v>44571</v>
      </c>
      <c r="E55" s="1" t="n">
        <v>46220</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s="2" t="inlineStr"/>
    </row>
    <row r="56" ht="15" customHeight="1">
      <c r="A56" t="inlineStr">
        <is>
          <t>A 5301-2022</t>
        </is>
      </c>
      <c r="B56" t="inlineStr">
        <is>
          <t>avverkningsanmälan</t>
        </is>
      </c>
      <c r="C56" t="inlineStr">
        <is>
          <t>Föryngringsavverkning</t>
        </is>
      </c>
      <c r="D56" s="1" t="n">
        <v>44594</v>
      </c>
      <c r="E56" s="1" t="n">
        <v>46220</v>
      </c>
      <c r="F56" t="inlineStr">
        <is>
          <t>SÖDERMANLANDS LÄN</t>
        </is>
      </c>
      <c r="G56" t="inlineStr">
        <is>
          <t>GNESTA</t>
        </is>
      </c>
      <c r="I56" t="n">
        <v>1.9</v>
      </c>
      <c r="J56" t="n">
        <v>0</v>
      </c>
      <c r="K56" t="n">
        <v>0</v>
      </c>
      <c r="L56" t="n">
        <v>0</v>
      </c>
      <c r="M56" t="n">
        <v>0</v>
      </c>
      <c r="N56" t="n">
        <v>0</v>
      </c>
      <c r="O56" t="n">
        <v>0</v>
      </c>
      <c r="P56" t="n">
        <v>0</v>
      </c>
      <c r="Q56" t="n">
        <v>0</v>
      </c>
      <c r="R56" t="n">
        <v>0</v>
      </c>
      <c r="S56" t="n">
        <v>0</v>
      </c>
      <c r="T56" t="n">
        <v>0</v>
      </c>
      <c r="U56" s="2" t="inlineStr"/>
    </row>
    <row r="57" ht="15" customHeight="1">
      <c r="A57" t="inlineStr">
        <is>
          <t>A 7303-2022</t>
        </is>
      </c>
      <c r="B57" t="inlineStr">
        <is>
          <t>avverkningsanmälan</t>
        </is>
      </c>
      <c r="C57" t="inlineStr">
        <is>
          <t>Föryngringsavverkning</t>
        </is>
      </c>
      <c r="D57" s="1" t="n">
        <v>44606</v>
      </c>
      <c r="E57" s="1" t="n">
        <v>46220</v>
      </c>
      <c r="F57" t="inlineStr">
        <is>
          <t>SÖDERMANLANDS LÄN</t>
        </is>
      </c>
      <c r="G57" t="inlineStr">
        <is>
          <t>GNESTA</t>
        </is>
      </c>
      <c r="H57" t="inlineStr">
        <is>
          <t>Övriga Aktiebolag</t>
        </is>
      </c>
      <c r="I57" t="n">
        <v>1.2</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46220</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46220</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2983-2022</t>
        </is>
      </c>
      <c r="B60" t="inlineStr">
        <is>
          <t>avverkningsanmälan</t>
        </is>
      </c>
      <c r="C60" t="inlineStr">
        <is>
          <t>Föryngringsavverkning</t>
        </is>
      </c>
      <c r="D60" s="1" t="n">
        <v>44581</v>
      </c>
      <c r="E60" s="1" t="n">
        <v>46220</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s="2" t="inlineStr"/>
    </row>
    <row r="61" ht="15" customHeight="1">
      <c r="A61" t="inlineStr">
        <is>
          <t>A 24354-2022</t>
        </is>
      </c>
      <c r="B61" t="inlineStr">
        <is>
          <t>avverkningsanmälan</t>
        </is>
      </c>
      <c r="C61" t="inlineStr">
        <is>
          <t>Föryngringsavverkning</t>
        </is>
      </c>
      <c r="D61" s="1" t="n">
        <v>44726</v>
      </c>
      <c r="E61" s="1" t="n">
        <v>46220</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46220</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46220</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46220</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46220</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43198-2022</t>
        </is>
      </c>
      <c r="B66" t="inlineStr">
        <is>
          <t>avverkningsanmälan</t>
        </is>
      </c>
      <c r="C66" t="inlineStr">
        <is>
          <t>Föryngringsavverkning</t>
        </is>
      </c>
      <c r="D66" s="1" t="n">
        <v>44833</v>
      </c>
      <c r="E66" s="1" t="n">
        <v>46220</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s="2" t="inlineStr"/>
    </row>
    <row r="67" ht="15" customHeight="1">
      <c r="A67" t="inlineStr">
        <is>
          <t>A 60919-2021</t>
        </is>
      </c>
      <c r="B67" t="inlineStr">
        <is>
          <t>avverkningsanmälan</t>
        </is>
      </c>
      <c r="C67" t="inlineStr">
        <is>
          <t>Föryngringsavverkning</t>
        </is>
      </c>
      <c r="D67" s="1" t="n">
        <v>44497</v>
      </c>
      <c r="E67" s="1" t="n">
        <v>46220</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s="2" t="inlineStr"/>
    </row>
    <row r="68" ht="15" customHeight="1">
      <c r="A68" t="inlineStr">
        <is>
          <t>A 39018-2021</t>
        </is>
      </c>
      <c r="B68" t="inlineStr">
        <is>
          <t>avverkningsanmälan</t>
        </is>
      </c>
      <c r="C68" t="inlineStr">
        <is>
          <t>Föryngringsavverkning</t>
        </is>
      </c>
      <c r="D68" s="1" t="n">
        <v>44412</v>
      </c>
      <c r="E68" s="1" t="n">
        <v>46220</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46220</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46220</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46220</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46220</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46220</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46220</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46220</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3863-2022</t>
        </is>
      </c>
      <c r="B76" t="inlineStr">
        <is>
          <t>avverkningsanmälan</t>
        </is>
      </c>
      <c r="C76" t="inlineStr">
        <is>
          <t>Föryngringsavverkning</t>
        </is>
      </c>
      <c r="D76" s="1" t="n">
        <v>44587</v>
      </c>
      <c r="E76" s="1" t="n">
        <v>46220</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s="2" t="inlineStr"/>
    </row>
    <row r="77" ht="15" customHeight="1">
      <c r="A77" t="inlineStr">
        <is>
          <t>A 15105-2022</t>
        </is>
      </c>
      <c r="B77" t="inlineStr">
        <is>
          <t>avverkningsanmälan</t>
        </is>
      </c>
      <c r="C77" t="inlineStr">
        <is>
          <t>Föryngringsavverkning</t>
        </is>
      </c>
      <c r="D77" s="1" t="n">
        <v>44657</v>
      </c>
      <c r="E77" s="1" t="n">
        <v>46220</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s="2" t="inlineStr"/>
    </row>
    <row r="78" ht="15" customHeight="1">
      <c r="A78" t="inlineStr">
        <is>
          <t>A 68869-2021</t>
        </is>
      </c>
      <c r="B78" t="inlineStr">
        <is>
          <t>avverkningsanmälan</t>
        </is>
      </c>
      <c r="C78" t="inlineStr">
        <is>
          <t>Föryngringsavverkning</t>
        </is>
      </c>
      <c r="D78" s="1" t="n">
        <v>44529</v>
      </c>
      <c r="E78" s="1" t="n">
        <v>46220</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s="2" t="inlineStr"/>
    </row>
    <row r="79" ht="15" customHeight="1">
      <c r="A79" t="inlineStr">
        <is>
          <t>A 41914-2021</t>
        </is>
      </c>
      <c r="B79" t="inlineStr">
        <is>
          <t>avverkningsanmälan</t>
        </is>
      </c>
      <c r="C79" t="inlineStr">
        <is>
          <t>Föryngringsavverkning</t>
        </is>
      </c>
      <c r="D79" s="1" t="n">
        <v>44426</v>
      </c>
      <c r="E79" s="1" t="n">
        <v>46220</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46220</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46220</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42226-2022</t>
        </is>
      </c>
      <c r="B82" t="inlineStr">
        <is>
          <t>avverkningsanmälan</t>
        </is>
      </c>
      <c r="C82" t="inlineStr">
        <is>
          <t>Föryngringsavverkning</t>
        </is>
      </c>
      <c r="D82" s="1" t="n">
        <v>44830</v>
      </c>
      <c r="E82" s="1" t="n">
        <v>46220</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s="2" t="inlineStr"/>
    </row>
    <row r="83" ht="15" customHeight="1">
      <c r="A83" t="inlineStr">
        <is>
          <t>A 31830-2022</t>
        </is>
      </c>
      <c r="B83" t="inlineStr">
        <is>
          <t>avverkningsanmälan</t>
        </is>
      </c>
      <c r="C83" t="inlineStr">
        <is>
          <t>Föryngringsavverkning</t>
        </is>
      </c>
      <c r="D83" s="1" t="n">
        <v>44776</v>
      </c>
      <c r="E83" s="1" t="n">
        <v>46220</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s="2" t="inlineStr"/>
    </row>
    <row r="84" ht="15" customHeight="1">
      <c r="A84" t="inlineStr">
        <is>
          <t>A 57612-2021</t>
        </is>
      </c>
      <c r="B84" t="inlineStr">
        <is>
          <t>avverkningsanmälan</t>
        </is>
      </c>
      <c r="C84" t="inlineStr">
        <is>
          <t>Föryngringsavverkning</t>
        </is>
      </c>
      <c r="D84" s="1" t="n">
        <v>44484</v>
      </c>
      <c r="E84" s="1" t="n">
        <v>46220</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s="2" t="inlineStr"/>
    </row>
    <row r="85" ht="15" customHeight="1">
      <c r="A85" t="inlineStr">
        <is>
          <t>A 42524-2022</t>
        </is>
      </c>
      <c r="B85" t="inlineStr">
        <is>
          <t>avverkningsanmälan</t>
        </is>
      </c>
      <c r="C85" t="inlineStr">
        <is>
          <t>Föryngringsavverkning</t>
        </is>
      </c>
      <c r="D85" s="1" t="n">
        <v>44831</v>
      </c>
      <c r="E85" s="1" t="n">
        <v>46220</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s="2" t="inlineStr"/>
    </row>
    <row r="86" ht="15" customHeight="1">
      <c r="A86" t="inlineStr">
        <is>
          <t>A 20792-2022</t>
        </is>
      </c>
      <c r="B86" t="inlineStr">
        <is>
          <t>avverkningsanmälan</t>
        </is>
      </c>
      <c r="C86" t="inlineStr">
        <is>
          <t>Föryngringsavverkning</t>
        </is>
      </c>
      <c r="D86" s="1" t="n">
        <v>44701</v>
      </c>
      <c r="E86" s="1" t="n">
        <v>46220</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s="2" t="inlineStr"/>
    </row>
    <row r="87" ht="15" customHeight="1">
      <c r="A87" t="inlineStr">
        <is>
          <t>A 43035-2021</t>
        </is>
      </c>
      <c r="B87" t="inlineStr">
        <is>
          <t>avverkningsanmälan</t>
        </is>
      </c>
      <c r="C87" t="inlineStr">
        <is>
          <t>Föryngringsavverkning</t>
        </is>
      </c>
      <c r="D87" s="1" t="n">
        <v>44431</v>
      </c>
      <c r="E87" s="1" t="n">
        <v>46220</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s="2" t="inlineStr"/>
    </row>
    <row r="88" ht="15" customHeight="1">
      <c r="A88" t="inlineStr">
        <is>
          <t>A 47969-2022</t>
        </is>
      </c>
      <c r="B88" t="inlineStr">
        <is>
          <t>avverkningsanmälan</t>
        </is>
      </c>
      <c r="C88" t="inlineStr">
        <is>
          <t>Föryngringsavverkning</t>
        </is>
      </c>
      <c r="D88" s="1" t="n">
        <v>44853</v>
      </c>
      <c r="E88" s="1" t="n">
        <v>46220</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s="2" t="inlineStr"/>
    </row>
    <row r="89" ht="15" customHeight="1">
      <c r="A89" t="inlineStr">
        <is>
          <t>A 46079-2021</t>
        </is>
      </c>
      <c r="B89" t="inlineStr">
        <is>
          <t>avverkningsanmälan</t>
        </is>
      </c>
      <c r="C89" t="inlineStr">
        <is>
          <t>Föryngringsavverkning</t>
        </is>
      </c>
      <c r="D89" s="1" t="n">
        <v>44442</v>
      </c>
      <c r="E89" s="1" t="n">
        <v>46220</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s="2" t="inlineStr"/>
    </row>
    <row r="90" ht="15" customHeight="1">
      <c r="A90" t="inlineStr">
        <is>
          <t>A 56815-2021</t>
        </is>
      </c>
      <c r="B90" t="inlineStr">
        <is>
          <t>avverkningsanmälan</t>
        </is>
      </c>
      <c r="C90" t="inlineStr">
        <is>
          <t>Föryngringsavverkning</t>
        </is>
      </c>
      <c r="D90" s="1" t="n">
        <v>44481</v>
      </c>
      <c r="E90" s="1" t="n">
        <v>46220</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s="2" t="inlineStr"/>
    </row>
    <row r="91" ht="15" customHeight="1">
      <c r="A91" t="inlineStr">
        <is>
          <t>A 44943-2021</t>
        </is>
      </c>
      <c r="B91" t="inlineStr">
        <is>
          <t>avverkningsanmälan</t>
        </is>
      </c>
      <c r="C91" t="inlineStr">
        <is>
          <t>Föryngringsavverkning</t>
        </is>
      </c>
      <c r="D91" s="1" t="n">
        <v>44438</v>
      </c>
      <c r="E91" s="1" t="n">
        <v>46220</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s="2" t="inlineStr"/>
    </row>
    <row r="92" ht="15" customHeight="1">
      <c r="A92" t="inlineStr">
        <is>
          <t>A 45911-2022</t>
        </is>
      </c>
      <c r="B92" t="inlineStr">
        <is>
          <t>avverkningsanmälan</t>
        </is>
      </c>
      <c r="C92" t="inlineStr">
        <is>
          <t>Föryngringsavverkning</t>
        </is>
      </c>
      <c r="D92" s="1" t="n">
        <v>44846</v>
      </c>
      <c r="E92" s="1" t="n">
        <v>46220</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s="2" t="inlineStr"/>
    </row>
    <row r="93" ht="15" customHeight="1">
      <c r="A93" t="inlineStr">
        <is>
          <t>A 59616-2021</t>
        </is>
      </c>
      <c r="B93" t="inlineStr">
        <is>
          <t>avverkningsanmälan</t>
        </is>
      </c>
      <c r="C93" t="inlineStr">
        <is>
          <t>Föryngringsavverkning</t>
        </is>
      </c>
      <c r="D93" s="1" t="n">
        <v>44491</v>
      </c>
      <c r="E93" s="1" t="n">
        <v>46220</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s="2" t="inlineStr"/>
    </row>
    <row r="94" ht="15" customHeight="1">
      <c r="A94" t="inlineStr">
        <is>
          <t>A 32273-2022</t>
        </is>
      </c>
      <c r="B94" t="inlineStr">
        <is>
          <t>avverkningsanmälan</t>
        </is>
      </c>
      <c r="C94" t="inlineStr">
        <is>
          <t>Avverkning för att bevara och utveckla /försöksver</t>
        </is>
      </c>
      <c r="D94" s="1" t="n">
        <v>44781</v>
      </c>
      <c r="E94" s="1" t="n">
        <v>46220</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s="2" t="inlineStr"/>
    </row>
    <row r="95" ht="15" customHeight="1">
      <c r="A95" t="inlineStr">
        <is>
          <t>A 70782-2021</t>
        </is>
      </c>
      <c r="B95" t="inlineStr">
        <is>
          <t>avverkningsanmälan</t>
        </is>
      </c>
      <c r="C95" t="inlineStr">
        <is>
          <t>Föryngringsavverkning</t>
        </is>
      </c>
      <c r="D95" s="1" t="n">
        <v>44537</v>
      </c>
      <c r="E95" s="1" t="n">
        <v>46220</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s="2" t="inlineStr"/>
    </row>
    <row r="96" ht="15" customHeight="1">
      <c r="A96" t="inlineStr">
        <is>
          <t>A 43201-2022</t>
        </is>
      </c>
      <c r="B96" t="inlineStr">
        <is>
          <t>avverkningsanmälan</t>
        </is>
      </c>
      <c r="C96" t="inlineStr">
        <is>
          <t>Föryngringsavverkning</t>
        </is>
      </c>
      <c r="D96" s="1" t="n">
        <v>44833</v>
      </c>
      <c r="E96" s="1" t="n">
        <v>46220</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s="2" t="inlineStr"/>
    </row>
    <row r="97" ht="15" customHeight="1">
      <c r="A97" t="inlineStr">
        <is>
          <t>A 68687-2021</t>
        </is>
      </c>
      <c r="B97" t="inlineStr">
        <is>
          <t>avverkningsanmälan</t>
        </is>
      </c>
      <c r="C97" t="inlineStr">
        <is>
          <t>Föryngringsavverkning</t>
        </is>
      </c>
      <c r="D97" s="1" t="n">
        <v>44529</v>
      </c>
      <c r="E97" s="1" t="n">
        <v>46220</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s="2" t="inlineStr"/>
    </row>
    <row r="98" ht="15" customHeight="1">
      <c r="A98" t="inlineStr">
        <is>
          <t>A 6155-2022</t>
        </is>
      </c>
      <c r="B98" t="inlineStr">
        <is>
          <t>avverkningsanmälan</t>
        </is>
      </c>
      <c r="C98" t="inlineStr">
        <is>
          <t>Föryngringsavverkning</t>
        </is>
      </c>
      <c r="D98" s="1" t="n">
        <v>44599</v>
      </c>
      <c r="E98" s="1" t="n">
        <v>46220</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s="2" t="inlineStr"/>
    </row>
    <row r="99" ht="15" customHeight="1">
      <c r="A99" t="inlineStr">
        <is>
          <t>A 4383-2022</t>
        </is>
      </c>
      <c r="B99" t="inlineStr">
        <is>
          <t>avverkningsanmälan</t>
        </is>
      </c>
      <c r="C99" t="inlineStr">
        <is>
          <t>Föryngringsavverkning</t>
        </is>
      </c>
      <c r="D99" s="1" t="n">
        <v>44589</v>
      </c>
      <c r="E99" s="1" t="n">
        <v>46220</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s="2" t="inlineStr"/>
    </row>
    <row r="100" ht="15" customHeight="1">
      <c r="A100" t="inlineStr">
        <is>
          <t>A 42178-2022</t>
        </is>
      </c>
      <c r="B100" t="inlineStr">
        <is>
          <t>avverkningsanmälan</t>
        </is>
      </c>
      <c r="C100" t="inlineStr">
        <is>
          <t>Föryngringsavverkning</t>
        </is>
      </c>
      <c r="D100" s="1" t="n">
        <v>44830</v>
      </c>
      <c r="E100" s="1" t="n">
        <v>46220</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49885-2021</t>
        </is>
      </c>
      <c r="B101" t="inlineStr">
        <is>
          <t>avverkningsanmälan</t>
        </is>
      </c>
      <c r="C101" t="inlineStr">
        <is>
          <t>Föryngringsavverkning</t>
        </is>
      </c>
      <c r="D101" s="1" t="n">
        <v>44455</v>
      </c>
      <c r="E101" s="1" t="n">
        <v>46220</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32320-2022</t>
        </is>
      </c>
      <c r="B102" t="inlineStr">
        <is>
          <t>avverkningsanmälan</t>
        </is>
      </c>
      <c r="C102" t="inlineStr">
        <is>
          <t>Avverkning för att bevara och utveckla /försöksver</t>
        </is>
      </c>
      <c r="D102" s="1" t="n">
        <v>44781</v>
      </c>
      <c r="E102" s="1" t="n">
        <v>46220</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43192-2022</t>
        </is>
      </c>
      <c r="B103" t="inlineStr">
        <is>
          <t>avverkningsanmälan</t>
        </is>
      </c>
      <c r="C103" t="inlineStr">
        <is>
          <t>Föryngringsavverkning</t>
        </is>
      </c>
      <c r="D103" s="1" t="n">
        <v>44833</v>
      </c>
      <c r="E103" s="1" t="n">
        <v>46220</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56824-2021</t>
        </is>
      </c>
      <c r="B104" t="inlineStr">
        <is>
          <t>avverkningsanmälan</t>
        </is>
      </c>
      <c r="C104" t="inlineStr">
        <is>
          <t>Föryngringsavverkning</t>
        </is>
      </c>
      <c r="D104" s="1" t="n">
        <v>44481</v>
      </c>
      <c r="E104" s="1" t="n">
        <v>46220</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72529-2021</t>
        </is>
      </c>
      <c r="B105" t="inlineStr">
        <is>
          <t>avverkningsanmälan</t>
        </is>
      </c>
      <c r="C105" t="inlineStr">
        <is>
          <t>Föryngringsavverkning</t>
        </is>
      </c>
      <c r="D105" s="1" t="n">
        <v>44546</v>
      </c>
      <c r="E105" s="1" t="n">
        <v>46220</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19909-2022</t>
        </is>
      </c>
      <c r="B106" t="inlineStr">
        <is>
          <t>avverkningsanmälan</t>
        </is>
      </c>
      <c r="C106" t="inlineStr">
        <is>
          <t>Föryngringsavverkning</t>
        </is>
      </c>
      <c r="D106" s="1" t="n">
        <v>44694</v>
      </c>
      <c r="E106" s="1" t="n">
        <v>46220</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68362-2021</t>
        </is>
      </c>
      <c r="B107" t="inlineStr">
        <is>
          <t>avverkningsanmälan</t>
        </is>
      </c>
      <c r="C107" t="inlineStr">
        <is>
          <t>Föryngringsavverkning</t>
        </is>
      </c>
      <c r="D107" s="1" t="n">
        <v>44528</v>
      </c>
      <c r="E107" s="1" t="n">
        <v>46220</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4438-2022</t>
        </is>
      </c>
      <c r="B108" t="inlineStr">
        <is>
          <t>avverkningsanmälan</t>
        </is>
      </c>
      <c r="C108" t="inlineStr">
        <is>
          <t>Föryngringsavverkning</t>
        </is>
      </c>
      <c r="D108" s="1" t="n">
        <v>44589</v>
      </c>
      <c r="E108" s="1" t="n">
        <v>46220</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71772-2021</t>
        </is>
      </c>
      <c r="B109" t="inlineStr">
        <is>
          <t>avverkningsanmälan</t>
        </is>
      </c>
      <c r="C109" t="inlineStr">
        <is>
          <t>Föryngringsavverkning</t>
        </is>
      </c>
      <c r="D109" s="1" t="n">
        <v>44543</v>
      </c>
      <c r="E109" s="1" t="n">
        <v>46220</v>
      </c>
      <c r="F109" t="inlineStr">
        <is>
          <t>SÖDERMANLANDS LÄN</t>
        </is>
      </c>
      <c r="G109" t="inlineStr">
        <is>
          <t>GNESTA</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41103-2021</t>
        </is>
      </c>
      <c r="B110" t="inlineStr">
        <is>
          <t>avverkningsanmälan</t>
        </is>
      </c>
      <c r="C110" t="inlineStr">
        <is>
          <t>Föryngringsavverkning</t>
        </is>
      </c>
      <c r="D110" s="1" t="n">
        <v>44423</v>
      </c>
      <c r="E110" s="1" t="n">
        <v>46220</v>
      </c>
      <c r="F110" t="inlineStr">
        <is>
          <t>SÖDERMANLANDS LÄN</t>
        </is>
      </c>
      <c r="G110" t="inlineStr">
        <is>
          <t>GNESTA</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58428-2022</t>
        </is>
      </c>
      <c r="B111" t="inlineStr">
        <is>
          <t>avverkningsanmälan</t>
        </is>
      </c>
      <c r="C111" t="inlineStr">
        <is>
          <t>Föryngringsavverkning</t>
        </is>
      </c>
      <c r="D111" s="1" t="n">
        <v>44901</v>
      </c>
      <c r="E111" s="1" t="n">
        <v>46220</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1216-2022</t>
        </is>
      </c>
      <c r="B112" t="inlineStr">
        <is>
          <t>avverkningsanmälan</t>
        </is>
      </c>
      <c r="C112" t="inlineStr">
        <is>
          <t>Föryngringsavverkning</t>
        </is>
      </c>
      <c r="D112" s="1" t="n">
        <v>44572</v>
      </c>
      <c r="E112" s="1" t="n">
        <v>46220</v>
      </c>
      <c r="F112" t="inlineStr">
        <is>
          <t>SÖDERMANLANDS LÄN</t>
        </is>
      </c>
      <c r="G112" t="inlineStr">
        <is>
          <t>GNESTA</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11726-2023</t>
        </is>
      </c>
      <c r="B113" t="inlineStr">
        <is>
          <t>avverkningsanmälan</t>
        </is>
      </c>
      <c r="C113" t="inlineStr">
        <is>
          <t>Föryngringsavverkning</t>
        </is>
      </c>
      <c r="D113" s="1" t="n">
        <v>44994</v>
      </c>
      <c r="E113" s="1" t="n">
        <v>46220</v>
      </c>
      <c r="F113" t="inlineStr">
        <is>
          <t>SÖDERMANLANDS LÄN</t>
        </is>
      </c>
      <c r="G113" t="inlineStr">
        <is>
          <t>GNESTA</t>
        </is>
      </c>
      <c r="I113" t="n">
        <v>13.4</v>
      </c>
      <c r="J113" t="n">
        <v>0</v>
      </c>
      <c r="K113" t="n">
        <v>0</v>
      </c>
      <c r="L113" t="n">
        <v>0</v>
      </c>
      <c r="M113" t="n">
        <v>0</v>
      </c>
      <c r="N113" t="n">
        <v>0</v>
      </c>
      <c r="O113" t="n">
        <v>0</v>
      </c>
      <c r="P113" t="n">
        <v>0</v>
      </c>
      <c r="Q113" t="n">
        <v>0</v>
      </c>
      <c r="R113" t="n">
        <v>0</v>
      </c>
      <c r="S113" t="n">
        <v>0</v>
      </c>
      <c r="T113" t="n">
        <v>0</v>
      </c>
      <c r="U113" s="2" t="inlineStr"/>
    </row>
    <row r="114" ht="15" customHeight="1">
      <c r="A114" t="inlineStr">
        <is>
          <t>A 6536-2024</t>
        </is>
      </c>
      <c r="B114" t="inlineStr">
        <is>
          <t>avverkningsanmälan</t>
        </is>
      </c>
      <c r="C114" t="inlineStr">
        <is>
          <t>Föryngringsavverkning</t>
        </is>
      </c>
      <c r="D114" s="1" t="n">
        <v>45341</v>
      </c>
      <c r="E114" s="1" t="n">
        <v>46220</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42200-2022</t>
        </is>
      </c>
      <c r="B115" t="inlineStr">
        <is>
          <t>avverkningsanmälan</t>
        </is>
      </c>
      <c r="C115" t="inlineStr">
        <is>
          <t>Föryngringsavverkning</t>
        </is>
      </c>
      <c r="D115" s="1" t="n">
        <v>44830</v>
      </c>
      <c r="E115" s="1" t="n">
        <v>46220</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6086-2022</t>
        </is>
      </c>
      <c r="B116" t="inlineStr">
        <is>
          <t>avverkningsanmälan</t>
        </is>
      </c>
      <c r="C116" t="inlineStr">
        <is>
          <t>Föryngringsavverkning</t>
        </is>
      </c>
      <c r="D116" s="1" t="n">
        <v>44599</v>
      </c>
      <c r="E116" s="1" t="n">
        <v>46220</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30911-2022</t>
        </is>
      </c>
      <c r="B117" t="inlineStr">
        <is>
          <t>avverkningsanmälan</t>
        </is>
      </c>
      <c r="C117" t="inlineStr">
        <is>
          <t>Föryngringsavverkning</t>
        </is>
      </c>
      <c r="D117" s="1" t="n">
        <v>44767</v>
      </c>
      <c r="E117" s="1" t="n">
        <v>46220</v>
      </c>
      <c r="F117" t="inlineStr">
        <is>
          <t>SÖDERMANLANDS LÄN</t>
        </is>
      </c>
      <c r="G117" t="inlineStr">
        <is>
          <t>GNESTA</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61896-2022</t>
        </is>
      </c>
      <c r="B118" t="inlineStr">
        <is>
          <t>avverkningsanmälan</t>
        </is>
      </c>
      <c r="C118" t="inlineStr">
        <is>
          <t>Föryngringsavverkning</t>
        </is>
      </c>
      <c r="D118" s="1" t="n">
        <v>44917</v>
      </c>
      <c r="E118" s="1" t="n">
        <v>46220</v>
      </c>
      <c r="F118" t="inlineStr">
        <is>
          <t>SÖDERMANLANDS LÄN</t>
        </is>
      </c>
      <c r="G118" t="inlineStr">
        <is>
          <t>GNESTA</t>
        </is>
      </c>
      <c r="H118" t="inlineStr">
        <is>
          <t>Kommuner</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62016-2022</t>
        </is>
      </c>
      <c r="B119" t="inlineStr">
        <is>
          <t>avverkningsanmälan</t>
        </is>
      </c>
      <c r="C119" t="inlineStr">
        <is>
          <t>Föryngringsavverkning</t>
        </is>
      </c>
      <c r="D119" s="1" t="n">
        <v>44918</v>
      </c>
      <c r="E119" s="1" t="n">
        <v>46220</v>
      </c>
      <c r="F119" t="inlineStr">
        <is>
          <t>SÖDERMANLANDS LÄN</t>
        </is>
      </c>
      <c r="G119" t="inlineStr">
        <is>
          <t>GNESTA</t>
        </is>
      </c>
      <c r="H119" t="inlineStr">
        <is>
          <t>Kommuner</t>
        </is>
      </c>
      <c r="I119" t="n">
        <v>3.6</v>
      </c>
      <c r="J119" t="n">
        <v>0</v>
      </c>
      <c r="K119" t="n">
        <v>0</v>
      </c>
      <c r="L119" t="n">
        <v>0</v>
      </c>
      <c r="M119" t="n">
        <v>0</v>
      </c>
      <c r="N119" t="n">
        <v>0</v>
      </c>
      <c r="O119" t="n">
        <v>0</v>
      </c>
      <c r="P119" t="n">
        <v>0</v>
      </c>
      <c r="Q119" t="n">
        <v>0</v>
      </c>
      <c r="R119" t="n">
        <v>0</v>
      </c>
      <c r="S119" t="n">
        <v>0</v>
      </c>
      <c r="T119" t="n">
        <v>0</v>
      </c>
      <c r="U119" s="2" t="inlineStr"/>
    </row>
    <row r="120" ht="15" customHeight="1">
      <c r="A120" t="inlineStr">
        <is>
          <t>A 62428-2023</t>
        </is>
      </c>
      <c r="B120" t="inlineStr">
        <is>
          <t>avverkningsanmälan</t>
        </is>
      </c>
      <c r="C120" t="inlineStr">
        <is>
          <t>Föryngringsavverkning</t>
        </is>
      </c>
      <c r="D120" s="1" t="n">
        <v>45268</v>
      </c>
      <c r="E120" s="1" t="n">
        <v>46220</v>
      </c>
      <c r="F120" t="inlineStr">
        <is>
          <t>SÖDERMANLANDS LÄN</t>
        </is>
      </c>
      <c r="G120" t="inlineStr">
        <is>
          <t>GNESTA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56611-2022</t>
        </is>
      </c>
      <c r="B121" t="inlineStr">
        <is>
          <t>avverkningsanmälan</t>
        </is>
      </c>
      <c r="C121" t="inlineStr">
        <is>
          <t>Föryngringsavverkning</t>
        </is>
      </c>
      <c r="D121" s="1" t="n">
        <v>44893</v>
      </c>
      <c r="E121" s="1" t="n">
        <v>46220</v>
      </c>
      <c r="F121" t="inlineStr">
        <is>
          <t>SÖDERMANLANDS LÄN</t>
        </is>
      </c>
      <c r="G121" t="inlineStr">
        <is>
          <t>GNESTA</t>
        </is>
      </c>
      <c r="I121" t="n">
        <v>5.2</v>
      </c>
      <c r="J121" t="n">
        <v>0</v>
      </c>
      <c r="K121" t="n">
        <v>0</v>
      </c>
      <c r="L121" t="n">
        <v>0</v>
      </c>
      <c r="M121" t="n">
        <v>0</v>
      </c>
      <c r="N121" t="n">
        <v>0</v>
      </c>
      <c r="O121" t="n">
        <v>0</v>
      </c>
      <c r="P121" t="n">
        <v>0</v>
      </c>
      <c r="Q121" t="n">
        <v>0</v>
      </c>
      <c r="R121" t="n">
        <v>0</v>
      </c>
      <c r="S121" t="n">
        <v>0</v>
      </c>
      <c r="T121" t="n">
        <v>0</v>
      </c>
      <c r="U121" s="2" t="inlineStr"/>
    </row>
    <row r="122" ht="15" customHeight="1">
      <c r="A122" t="inlineStr">
        <is>
          <t>A 14078-2022</t>
        </is>
      </c>
      <c r="B122" t="inlineStr">
        <is>
          <t>avverkningsanmälan</t>
        </is>
      </c>
      <c r="C122" t="inlineStr">
        <is>
          <t>Föryngringsavverkning</t>
        </is>
      </c>
      <c r="D122" s="1" t="n">
        <v>44650</v>
      </c>
      <c r="E122" s="1" t="n">
        <v>46220</v>
      </c>
      <c r="F122" t="inlineStr">
        <is>
          <t>SÖDERMANLANDS LÄN</t>
        </is>
      </c>
      <c r="G122" t="inlineStr">
        <is>
          <t>GNESTA</t>
        </is>
      </c>
      <c r="I122" t="n">
        <v>6.7</v>
      </c>
      <c r="J122" t="n">
        <v>0</v>
      </c>
      <c r="K122" t="n">
        <v>0</v>
      </c>
      <c r="L122" t="n">
        <v>0</v>
      </c>
      <c r="M122" t="n">
        <v>0</v>
      </c>
      <c r="N122" t="n">
        <v>0</v>
      </c>
      <c r="O122" t="n">
        <v>0</v>
      </c>
      <c r="P122" t="n">
        <v>0</v>
      </c>
      <c r="Q122" t="n">
        <v>0</v>
      </c>
      <c r="R122" t="n">
        <v>0</v>
      </c>
      <c r="S122" t="n">
        <v>0</v>
      </c>
      <c r="T122" t="n">
        <v>0</v>
      </c>
      <c r="U122" s="2" t="inlineStr"/>
    </row>
    <row r="123" ht="15" customHeight="1">
      <c r="A123" t="inlineStr">
        <is>
          <t>A 8437-2024</t>
        </is>
      </c>
      <c r="B123" t="inlineStr">
        <is>
          <t>avverkningsanmälan</t>
        </is>
      </c>
      <c r="C123" t="inlineStr">
        <is>
          <t>Föryngringsavverkning</t>
        </is>
      </c>
      <c r="D123" s="1" t="n">
        <v>45353</v>
      </c>
      <c r="E123" s="1" t="n">
        <v>46220</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49614-2023</t>
        </is>
      </c>
      <c r="B124" t="inlineStr">
        <is>
          <t>avverkningsanmälan</t>
        </is>
      </c>
      <c r="C124" t="inlineStr">
        <is>
          <t>Föryngringsavverkning</t>
        </is>
      </c>
      <c r="D124" s="1" t="n">
        <v>45211</v>
      </c>
      <c r="E124" s="1" t="n">
        <v>46220</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s="2" t="inlineStr"/>
    </row>
    <row r="125" ht="15" customHeight="1">
      <c r="A125" t="inlineStr">
        <is>
          <t>A 43533-2024</t>
        </is>
      </c>
      <c r="B125" t="inlineStr">
        <is>
          <t>avverkningsanmälan</t>
        </is>
      </c>
      <c r="C125" t="inlineStr">
        <is>
          <t>Föryngringsavverkning</t>
        </is>
      </c>
      <c r="D125" s="1" t="n">
        <v>45569</v>
      </c>
      <c r="E125" s="1" t="n">
        <v>46220</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24172-2025</t>
        </is>
      </c>
      <c r="B126" t="inlineStr">
        <is>
          <t>avverkningsanmälan</t>
        </is>
      </c>
      <c r="C126" t="inlineStr">
        <is>
          <t>Föryngringsavverkning</t>
        </is>
      </c>
      <c r="D126" s="1" t="n">
        <v>45796</v>
      </c>
      <c r="E126" s="1" t="n">
        <v>46220</v>
      </c>
      <c r="F126" t="inlineStr">
        <is>
          <t>SÖDERMANLANDS LÄN</t>
        </is>
      </c>
      <c r="G126" t="inlineStr">
        <is>
          <t>GNESTA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24170-2025</t>
        </is>
      </c>
      <c r="B127" t="inlineStr">
        <is>
          <t>avverkningsanmälan</t>
        </is>
      </c>
      <c r="C127" t="inlineStr">
        <is>
          <t>Föryngringsavverkning</t>
        </is>
      </c>
      <c r="D127" s="1" t="n">
        <v>45796</v>
      </c>
      <c r="E127" s="1" t="n">
        <v>46220</v>
      </c>
      <c r="F127" t="inlineStr">
        <is>
          <t>SÖDERMANLANDS LÄN</t>
        </is>
      </c>
      <c r="G127" t="inlineStr">
        <is>
          <t>GNESTA</t>
        </is>
      </c>
      <c r="I127" t="n">
        <v>3.5</v>
      </c>
      <c r="J127" t="n">
        <v>0</v>
      </c>
      <c r="K127" t="n">
        <v>0</v>
      </c>
      <c r="L127" t="n">
        <v>0</v>
      </c>
      <c r="M127" t="n">
        <v>0</v>
      </c>
      <c r="N127" t="n">
        <v>0</v>
      </c>
      <c r="O127" t="n">
        <v>0</v>
      </c>
      <c r="P127" t="n">
        <v>0</v>
      </c>
      <c r="Q127" t="n">
        <v>0</v>
      </c>
      <c r="R127" t="n">
        <v>0</v>
      </c>
      <c r="S127" t="n">
        <v>0</v>
      </c>
      <c r="T127" t="n">
        <v>0</v>
      </c>
      <c r="U127" s="2" t="inlineStr"/>
    </row>
    <row r="128" ht="15" customHeight="1">
      <c r="A128" t="inlineStr">
        <is>
          <t>A 10331-2025</t>
        </is>
      </c>
      <c r="B128" t="inlineStr">
        <is>
          <t>avverkningsanmälan</t>
        </is>
      </c>
      <c r="C128" t="inlineStr">
        <is>
          <t>Föryngringsavverkning</t>
        </is>
      </c>
      <c r="D128" s="1" t="n">
        <v>45720</v>
      </c>
      <c r="E128" s="1" t="n">
        <v>46220</v>
      </c>
      <c r="F128" t="inlineStr">
        <is>
          <t>SÖDERMANLANDS LÄN</t>
        </is>
      </c>
      <c r="G128" t="inlineStr">
        <is>
          <t>GNESTA</t>
        </is>
      </c>
      <c r="I128" t="n">
        <v>3.1</v>
      </c>
      <c r="J128" t="n">
        <v>0</v>
      </c>
      <c r="K128" t="n">
        <v>0</v>
      </c>
      <c r="L128" t="n">
        <v>0</v>
      </c>
      <c r="M128" t="n">
        <v>0</v>
      </c>
      <c r="N128" t="n">
        <v>0</v>
      </c>
      <c r="O128" t="n">
        <v>0</v>
      </c>
      <c r="P128" t="n">
        <v>0</v>
      </c>
      <c r="Q128" t="n">
        <v>0</v>
      </c>
      <c r="R128" t="n">
        <v>0</v>
      </c>
      <c r="S128" t="n">
        <v>0</v>
      </c>
      <c r="T128" t="n">
        <v>0</v>
      </c>
      <c r="U128" s="2" t="inlineStr"/>
    </row>
    <row r="129" ht="15" customHeight="1">
      <c r="A129" t="inlineStr">
        <is>
          <t>A 30638-2024</t>
        </is>
      </c>
      <c r="B129" t="inlineStr">
        <is>
          <t>avverkningsanmälan</t>
        </is>
      </c>
      <c r="C129" t="inlineStr">
        <is>
          <t>Föryngringsavverkning</t>
        </is>
      </c>
      <c r="D129" s="1" t="n">
        <v>45495</v>
      </c>
      <c r="E129" s="1" t="n">
        <v>46220</v>
      </c>
      <c r="F129" t="inlineStr">
        <is>
          <t>SÖDERMANLANDS LÄN</t>
        </is>
      </c>
      <c r="G129" t="inlineStr">
        <is>
          <t>GNESTA</t>
        </is>
      </c>
      <c r="I129" t="n">
        <v>2.5</v>
      </c>
      <c r="J129" t="n">
        <v>0</v>
      </c>
      <c r="K129" t="n">
        <v>0</v>
      </c>
      <c r="L129" t="n">
        <v>0</v>
      </c>
      <c r="M129" t="n">
        <v>0</v>
      </c>
      <c r="N129" t="n">
        <v>0</v>
      </c>
      <c r="O129" t="n">
        <v>0</v>
      </c>
      <c r="P129" t="n">
        <v>0</v>
      </c>
      <c r="Q129" t="n">
        <v>0</v>
      </c>
      <c r="R129" t="n">
        <v>0</v>
      </c>
      <c r="S129" t="n">
        <v>0</v>
      </c>
      <c r="T129" t="n">
        <v>0</v>
      </c>
      <c r="U129" s="2" t="inlineStr"/>
    </row>
    <row r="130" ht="15" customHeight="1">
      <c r="A130" t="inlineStr">
        <is>
          <t>A 56442-2022</t>
        </is>
      </c>
      <c r="B130" t="inlineStr">
        <is>
          <t>avverkningsanmälan</t>
        </is>
      </c>
      <c r="C130" t="inlineStr">
        <is>
          <t>Föryngringsavverkning</t>
        </is>
      </c>
      <c r="D130" s="1" t="n">
        <v>44892</v>
      </c>
      <c r="E130" s="1" t="n">
        <v>46220</v>
      </c>
      <c r="F130" t="inlineStr">
        <is>
          <t>SÖDERMANLANDS LÄN</t>
        </is>
      </c>
      <c r="G130" t="inlineStr">
        <is>
          <t>GNESTA</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5822-2023</t>
        </is>
      </c>
      <c r="B131" t="inlineStr">
        <is>
          <t>avverkningsanmälan</t>
        </is>
      </c>
      <c r="C131" t="inlineStr">
        <is>
          <t>Föryngringsavverkning</t>
        </is>
      </c>
      <c r="D131" s="1" t="n">
        <v>44958</v>
      </c>
      <c r="E131" s="1" t="n">
        <v>46220</v>
      </c>
      <c r="F131" t="inlineStr">
        <is>
          <t>SÖDERMANLANDS LÄN</t>
        </is>
      </c>
      <c r="G131" t="inlineStr">
        <is>
          <t>GNESTA</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7644-2023</t>
        </is>
      </c>
      <c r="B132" t="inlineStr">
        <is>
          <t>avverkningsanmälan</t>
        </is>
      </c>
      <c r="C132" t="inlineStr">
        <is>
          <t>Föryngringsavverkning</t>
        </is>
      </c>
      <c r="D132" s="1" t="n">
        <v>44972</v>
      </c>
      <c r="E132" s="1" t="n">
        <v>46220</v>
      </c>
      <c r="F132" t="inlineStr">
        <is>
          <t>SÖDERMANLANDS LÄN</t>
        </is>
      </c>
      <c r="G132" t="inlineStr">
        <is>
          <t>GNESTA</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37282-2021</t>
        </is>
      </c>
      <c r="B133" t="inlineStr">
        <is>
          <t>avverkningsanmälan</t>
        </is>
      </c>
      <c r="C133" t="inlineStr">
        <is>
          <t>Föryngringsavverkning</t>
        </is>
      </c>
      <c r="D133" s="1" t="n">
        <v>44397</v>
      </c>
      <c r="E133" s="1" t="n">
        <v>46220</v>
      </c>
      <c r="F133" t="inlineStr">
        <is>
          <t>SÖDERMANLANDS LÄN</t>
        </is>
      </c>
      <c r="G133" t="inlineStr">
        <is>
          <t>GNESTA</t>
        </is>
      </c>
      <c r="I133" t="n">
        <v>10</v>
      </c>
      <c r="J133" t="n">
        <v>0</v>
      </c>
      <c r="K133" t="n">
        <v>0</v>
      </c>
      <c r="L133" t="n">
        <v>0</v>
      </c>
      <c r="M133" t="n">
        <v>0</v>
      </c>
      <c r="N133" t="n">
        <v>0</v>
      </c>
      <c r="O133" t="n">
        <v>0</v>
      </c>
      <c r="P133" t="n">
        <v>0</v>
      </c>
      <c r="Q133" t="n">
        <v>0</v>
      </c>
      <c r="R133" t="n">
        <v>0</v>
      </c>
      <c r="S133" t="n">
        <v>0</v>
      </c>
      <c r="T133" t="n">
        <v>0</v>
      </c>
      <c r="U133" s="2" t="inlineStr"/>
    </row>
    <row r="134" ht="15" customHeight="1">
      <c r="A134" t="inlineStr">
        <is>
          <t>A 62981-2023</t>
        </is>
      </c>
      <c r="B134" t="inlineStr">
        <is>
          <t>avverkningsanmälan</t>
        </is>
      </c>
      <c r="C134" t="inlineStr">
        <is>
          <t>Föryngringsavverkning</t>
        </is>
      </c>
      <c r="D134" s="1" t="n">
        <v>45272</v>
      </c>
      <c r="E134" s="1" t="n">
        <v>46220</v>
      </c>
      <c r="F134" t="inlineStr">
        <is>
          <t>SÖDERMANLANDS LÄN</t>
        </is>
      </c>
      <c r="G134" t="inlineStr">
        <is>
          <t>GNESTA</t>
        </is>
      </c>
      <c r="I134" t="n">
        <v>0.9</v>
      </c>
      <c r="J134" t="n">
        <v>0</v>
      </c>
      <c r="K134" t="n">
        <v>0</v>
      </c>
      <c r="L134" t="n">
        <v>0</v>
      </c>
      <c r="M134" t="n">
        <v>0</v>
      </c>
      <c r="N134" t="n">
        <v>0</v>
      </c>
      <c r="O134" t="n">
        <v>0</v>
      </c>
      <c r="P134" t="n">
        <v>0</v>
      </c>
      <c r="Q134" t="n">
        <v>0</v>
      </c>
      <c r="R134" t="n">
        <v>0</v>
      </c>
      <c r="S134" t="n">
        <v>0</v>
      </c>
      <c r="T134" t="n">
        <v>0</v>
      </c>
      <c r="U134" s="2" t="inlineStr"/>
    </row>
    <row r="135" ht="15" customHeight="1">
      <c r="A135" t="inlineStr">
        <is>
          <t>A 39964-2025</t>
        </is>
      </c>
      <c r="B135" t="inlineStr">
        <is>
          <t>avverkningsanmälan</t>
        </is>
      </c>
      <c r="C135" t="inlineStr">
        <is>
          <t>Föryngringsavverkning</t>
        </is>
      </c>
      <c r="D135" s="1" t="n">
        <v>45892</v>
      </c>
      <c r="E135" s="1" t="n">
        <v>46220</v>
      </c>
      <c r="F135" t="inlineStr">
        <is>
          <t>SÖDERMANLANDS LÄN</t>
        </is>
      </c>
      <c r="G135" t="inlineStr">
        <is>
          <t>GNESTA</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27141-2025</t>
        </is>
      </c>
      <c r="B136" t="inlineStr">
        <is>
          <t>avverkningsanmälan</t>
        </is>
      </c>
      <c r="C136" t="inlineStr">
        <is>
          <t>Föryngringsavverkning</t>
        </is>
      </c>
      <c r="D136" s="1" t="n">
        <v>45812</v>
      </c>
      <c r="E136" s="1" t="n">
        <v>46220</v>
      </c>
      <c r="F136" t="inlineStr">
        <is>
          <t>SÖDERMANLANDS LÄN</t>
        </is>
      </c>
      <c r="G136" t="inlineStr">
        <is>
          <t>GNESTA</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62020-2022</t>
        </is>
      </c>
      <c r="B137" t="inlineStr">
        <is>
          <t>avverkningsanmälan</t>
        </is>
      </c>
      <c r="C137" t="inlineStr">
        <is>
          <t>Föryngringsavverkning</t>
        </is>
      </c>
      <c r="D137" s="1" t="n">
        <v>44918</v>
      </c>
      <c r="E137" s="1" t="n">
        <v>46220</v>
      </c>
      <c r="F137" t="inlineStr">
        <is>
          <t>SÖDERMANLANDS LÄN</t>
        </is>
      </c>
      <c r="G137" t="inlineStr">
        <is>
          <t>GNESTA</t>
        </is>
      </c>
      <c r="H137" t="inlineStr">
        <is>
          <t>Kommuner</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2476-2022</t>
        </is>
      </c>
      <c r="B138" t="inlineStr">
        <is>
          <t>avverkningsanmälan</t>
        </is>
      </c>
      <c r="C138" t="inlineStr">
        <is>
          <t>Föryngringsavverkning</t>
        </is>
      </c>
      <c r="D138" s="1" t="n">
        <v>44579</v>
      </c>
      <c r="E138" s="1" t="n">
        <v>46220</v>
      </c>
      <c r="F138" t="inlineStr">
        <is>
          <t>SÖDERMANLANDS LÄN</t>
        </is>
      </c>
      <c r="G138" t="inlineStr">
        <is>
          <t>GNESTA</t>
        </is>
      </c>
      <c r="I138" t="n">
        <v>4.3</v>
      </c>
      <c r="J138" t="n">
        <v>0</v>
      </c>
      <c r="K138" t="n">
        <v>0</v>
      </c>
      <c r="L138" t="n">
        <v>0</v>
      </c>
      <c r="M138" t="n">
        <v>0</v>
      </c>
      <c r="N138" t="n">
        <v>0</v>
      </c>
      <c r="O138" t="n">
        <v>0</v>
      </c>
      <c r="P138" t="n">
        <v>0</v>
      </c>
      <c r="Q138" t="n">
        <v>0</v>
      </c>
      <c r="R138" t="n">
        <v>0</v>
      </c>
      <c r="S138" t="n">
        <v>0</v>
      </c>
      <c r="T138" t="n">
        <v>0</v>
      </c>
      <c r="U138" s="2" t="inlineStr"/>
    </row>
    <row r="139" ht="15" customHeight="1">
      <c r="A139" t="inlineStr">
        <is>
          <t>A 43263-2025</t>
        </is>
      </c>
      <c r="B139" t="inlineStr">
        <is>
          <t>avverkningsanmälan</t>
        </is>
      </c>
      <c r="C139" t="inlineStr">
        <is>
          <t>Föryngringsavverkning</t>
        </is>
      </c>
      <c r="D139" s="1" t="n">
        <v>45910</v>
      </c>
      <c r="E139" s="1" t="n">
        <v>46220</v>
      </c>
      <c r="F139" t="inlineStr">
        <is>
          <t>SÖDERMANLANDS LÄN</t>
        </is>
      </c>
      <c r="G139" t="inlineStr">
        <is>
          <t>GNESTA</t>
        </is>
      </c>
      <c r="I139" t="n">
        <v>4.8</v>
      </c>
      <c r="J139" t="n">
        <v>0</v>
      </c>
      <c r="K139" t="n">
        <v>0</v>
      </c>
      <c r="L139" t="n">
        <v>0</v>
      </c>
      <c r="M139" t="n">
        <v>0</v>
      </c>
      <c r="N139" t="n">
        <v>0</v>
      </c>
      <c r="O139" t="n">
        <v>0</v>
      </c>
      <c r="P139" t="n">
        <v>0</v>
      </c>
      <c r="Q139" t="n">
        <v>0</v>
      </c>
      <c r="R139" t="n">
        <v>0</v>
      </c>
      <c r="S139" t="n">
        <v>0</v>
      </c>
      <c r="T139" t="n">
        <v>0</v>
      </c>
      <c r="U139" s="2" t="inlineStr"/>
    </row>
    <row r="140" ht="15" customHeight="1">
      <c r="A140" t="inlineStr">
        <is>
          <t>A 68389-2021</t>
        </is>
      </c>
      <c r="B140" t="inlineStr">
        <is>
          <t>avverkningsanmälan</t>
        </is>
      </c>
      <c r="C140" t="inlineStr">
        <is>
          <t>Föryngringsavverkning</t>
        </is>
      </c>
      <c r="D140" s="1" t="n">
        <v>44529</v>
      </c>
      <c r="E140" s="1" t="n">
        <v>46220</v>
      </c>
      <c r="F140" t="inlineStr">
        <is>
          <t>SÖDERMANLANDS LÄN</t>
        </is>
      </c>
      <c r="G140" t="inlineStr">
        <is>
          <t>GNESTA</t>
        </is>
      </c>
      <c r="I140" t="n">
        <v>3.8</v>
      </c>
      <c r="J140" t="n">
        <v>0</v>
      </c>
      <c r="K140" t="n">
        <v>0</v>
      </c>
      <c r="L140" t="n">
        <v>0</v>
      </c>
      <c r="M140" t="n">
        <v>0</v>
      </c>
      <c r="N140" t="n">
        <v>0</v>
      </c>
      <c r="O140" t="n">
        <v>0</v>
      </c>
      <c r="P140" t="n">
        <v>0</v>
      </c>
      <c r="Q140" t="n">
        <v>0</v>
      </c>
      <c r="R140" t="n">
        <v>0</v>
      </c>
      <c r="S140" t="n">
        <v>0</v>
      </c>
      <c r="T140" t="n">
        <v>0</v>
      </c>
      <c r="U140" s="2" t="inlineStr"/>
    </row>
    <row r="141" ht="15" customHeight="1">
      <c r="A141" t="inlineStr">
        <is>
          <t>A 44272-2025</t>
        </is>
      </c>
      <c r="B141" t="inlineStr">
        <is>
          <t>avverkningsanmälan</t>
        </is>
      </c>
      <c r="C141" t="inlineStr">
        <is>
          <t>Föryngringsavverkning</t>
        </is>
      </c>
      <c r="D141" s="1" t="n">
        <v>45916</v>
      </c>
      <c r="E141" s="1" t="n">
        <v>46220</v>
      </c>
      <c r="F141" t="inlineStr">
        <is>
          <t>SÖDERMANLANDS LÄN</t>
        </is>
      </c>
      <c r="G141" t="inlineStr">
        <is>
          <t>GNESTA</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45515-2024</t>
        </is>
      </c>
      <c r="B142" t="inlineStr">
        <is>
          <t>avverkningsanmälan</t>
        </is>
      </c>
      <c r="C142" t="inlineStr">
        <is>
          <t>Föryngringsavverkning</t>
        </is>
      </c>
      <c r="D142" s="1" t="n">
        <v>45578</v>
      </c>
      <c r="E142" s="1" t="n">
        <v>46220</v>
      </c>
      <c r="F142" t="inlineStr">
        <is>
          <t>SÖDERMANLANDS LÄN</t>
        </is>
      </c>
      <c r="G142" t="inlineStr">
        <is>
          <t>GNESTA</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7054-2022</t>
        </is>
      </c>
      <c r="B143" t="inlineStr">
        <is>
          <t>avverkningsanmälan</t>
        </is>
      </c>
      <c r="C143" t="inlineStr">
        <is>
          <t>Avverkning för annat ändamål</t>
        </is>
      </c>
      <c r="D143" s="1" t="n">
        <v>44603</v>
      </c>
      <c r="E143" s="1" t="n">
        <v>46220</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34425-2023</t>
        </is>
      </c>
      <c r="B144" t="inlineStr">
        <is>
          <t>avverkningsanmälan</t>
        </is>
      </c>
      <c r="C144" t="inlineStr">
        <is>
          <t>Föryngringsavverkning</t>
        </is>
      </c>
      <c r="D144" s="1" t="n">
        <v>45133</v>
      </c>
      <c r="E144" s="1" t="n">
        <v>46220</v>
      </c>
      <c r="F144" t="inlineStr">
        <is>
          <t>SÖDERMANLANDS LÄN</t>
        </is>
      </c>
      <c r="G144" t="inlineStr">
        <is>
          <t>GNESTA</t>
        </is>
      </c>
      <c r="I144" t="n">
        <v>4.4</v>
      </c>
      <c r="J144" t="n">
        <v>0</v>
      </c>
      <c r="K144" t="n">
        <v>0</v>
      </c>
      <c r="L144" t="n">
        <v>0</v>
      </c>
      <c r="M144" t="n">
        <v>0</v>
      </c>
      <c r="N144" t="n">
        <v>0</v>
      </c>
      <c r="O144" t="n">
        <v>0</v>
      </c>
      <c r="P144" t="n">
        <v>0</v>
      </c>
      <c r="Q144" t="n">
        <v>0</v>
      </c>
      <c r="R144" t="n">
        <v>0</v>
      </c>
      <c r="S144" t="n">
        <v>0</v>
      </c>
      <c r="T144" t="n">
        <v>0</v>
      </c>
      <c r="U144" s="2" t="inlineStr"/>
    </row>
    <row r="145" ht="15" customHeight="1">
      <c r="A145" t="inlineStr">
        <is>
          <t>A 49011-2022</t>
        </is>
      </c>
      <c r="B145" t="inlineStr">
        <is>
          <t>avverkningsanmälan</t>
        </is>
      </c>
      <c r="C145" t="inlineStr">
        <is>
          <t>Föryngringsavverkning</t>
        </is>
      </c>
      <c r="D145" s="1" t="n">
        <v>44860</v>
      </c>
      <c r="E145" s="1" t="n">
        <v>46220</v>
      </c>
      <c r="F145" t="inlineStr">
        <is>
          <t>SÖDERMANLANDS LÄN</t>
        </is>
      </c>
      <c r="G145" t="inlineStr">
        <is>
          <t>GNESTA</t>
        </is>
      </c>
      <c r="I145" t="n">
        <v>2.9</v>
      </c>
      <c r="J145" t="n">
        <v>0</v>
      </c>
      <c r="K145" t="n">
        <v>0</v>
      </c>
      <c r="L145" t="n">
        <v>0</v>
      </c>
      <c r="M145" t="n">
        <v>0</v>
      </c>
      <c r="N145" t="n">
        <v>0</v>
      </c>
      <c r="O145" t="n">
        <v>0</v>
      </c>
      <c r="P145" t="n">
        <v>0</v>
      </c>
      <c r="Q145" t="n">
        <v>0</v>
      </c>
      <c r="R145" t="n">
        <v>0</v>
      </c>
      <c r="S145" t="n">
        <v>0</v>
      </c>
      <c r="T145" t="n">
        <v>0</v>
      </c>
      <c r="U145" s="2" t="inlineStr"/>
    </row>
    <row r="146" ht="15" customHeight="1">
      <c r="A146" t="inlineStr">
        <is>
          <t>A 48304-2023</t>
        </is>
      </c>
      <c r="B146" t="inlineStr">
        <is>
          <t>avverkningsanmälan</t>
        </is>
      </c>
      <c r="C146" t="inlineStr">
        <is>
          <t>Föryngringsavverkning</t>
        </is>
      </c>
      <c r="D146" s="1" t="n">
        <v>45205</v>
      </c>
      <c r="E146" s="1" t="n">
        <v>46220</v>
      </c>
      <c r="F146" t="inlineStr">
        <is>
          <t>SÖDERMANLANDS LÄN</t>
        </is>
      </c>
      <c r="G146" t="inlineStr">
        <is>
          <t>GNESTA</t>
        </is>
      </c>
      <c r="H146" t="inlineStr">
        <is>
          <t>Holmen skog AB</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36843-2025</t>
        </is>
      </c>
      <c r="B147" t="inlineStr">
        <is>
          <t>avverkningsanmälan</t>
        </is>
      </c>
      <c r="C147" t="inlineStr">
        <is>
          <t>Föryngringsavverkning</t>
        </is>
      </c>
      <c r="D147" s="1" t="n">
        <v>45874</v>
      </c>
      <c r="E147" s="1" t="n">
        <v>46220</v>
      </c>
      <c r="F147" t="inlineStr">
        <is>
          <t>SÖDERMANLANDS LÄN</t>
        </is>
      </c>
      <c r="G147" t="inlineStr">
        <is>
          <t>GNESTA</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49332-2025</t>
        </is>
      </c>
      <c r="B148" t="inlineStr">
        <is>
          <t>avverkningsanmälan</t>
        </is>
      </c>
      <c r="C148" t="inlineStr">
        <is>
          <t>Föryngringsavverkning</t>
        </is>
      </c>
      <c r="D148" s="1" t="n">
        <v>45938</v>
      </c>
      <c r="E148" s="1" t="n">
        <v>46220</v>
      </c>
      <c r="F148" t="inlineStr">
        <is>
          <t>SÖDERMANLANDS LÄN</t>
        </is>
      </c>
      <c r="G148" t="inlineStr">
        <is>
          <t>GNESTA</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37502-2025</t>
        </is>
      </c>
      <c r="B149" t="inlineStr">
        <is>
          <t>avverkningsanmälan</t>
        </is>
      </c>
      <c r="C149" t="inlineStr">
        <is>
          <t>Föryngringsavverkning</t>
        </is>
      </c>
      <c r="D149" s="1" t="n">
        <v>45877</v>
      </c>
      <c r="E149" s="1" t="n">
        <v>46220</v>
      </c>
      <c r="F149" t="inlineStr">
        <is>
          <t>SÖDERMANLANDS LÄN</t>
        </is>
      </c>
      <c r="G149" t="inlineStr">
        <is>
          <t>GNESTA</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25635-2023</t>
        </is>
      </c>
      <c r="B150" t="inlineStr">
        <is>
          <t>avverkningsanmälan</t>
        </is>
      </c>
      <c r="C150" t="inlineStr">
        <is>
          <t>Föryngringsavverkning</t>
        </is>
      </c>
      <c r="D150" s="1" t="n">
        <v>45089</v>
      </c>
      <c r="E150" s="1" t="n">
        <v>46220</v>
      </c>
      <c r="F150" t="inlineStr">
        <is>
          <t>SÖDERMANLANDS LÄN</t>
        </is>
      </c>
      <c r="G150" t="inlineStr">
        <is>
          <t>GNESTA</t>
        </is>
      </c>
      <c r="I150" t="n">
        <v>6.1</v>
      </c>
      <c r="J150" t="n">
        <v>0</v>
      </c>
      <c r="K150" t="n">
        <v>0</v>
      </c>
      <c r="L150" t="n">
        <v>0</v>
      </c>
      <c r="M150" t="n">
        <v>0</v>
      </c>
      <c r="N150" t="n">
        <v>0</v>
      </c>
      <c r="O150" t="n">
        <v>0</v>
      </c>
      <c r="P150" t="n">
        <v>0</v>
      </c>
      <c r="Q150" t="n">
        <v>0</v>
      </c>
      <c r="R150" t="n">
        <v>0</v>
      </c>
      <c r="S150" t="n">
        <v>0</v>
      </c>
      <c r="T150" t="n">
        <v>0</v>
      </c>
      <c r="U150" s="2" t="inlineStr"/>
    </row>
    <row r="151" ht="15" customHeight="1">
      <c r="A151" t="inlineStr">
        <is>
          <t>A 73063-2021</t>
        </is>
      </c>
      <c r="B151" t="inlineStr">
        <is>
          <t>avverkningsanmälan</t>
        </is>
      </c>
      <c r="C151" t="inlineStr">
        <is>
          <t>Föryngringsavverkning</t>
        </is>
      </c>
      <c r="D151" s="1" t="n">
        <v>44546</v>
      </c>
      <c r="E151" s="1" t="n">
        <v>46220</v>
      </c>
      <c r="F151" t="inlineStr">
        <is>
          <t>SÖDERMANLANDS LÄN</t>
        </is>
      </c>
      <c r="G151" t="inlineStr">
        <is>
          <t>GNESTA</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6160-2022</t>
        </is>
      </c>
      <c r="B152" t="inlineStr">
        <is>
          <t>avverkningsanmälan</t>
        </is>
      </c>
      <c r="C152" t="inlineStr">
        <is>
          <t>Avverkning för annat ändamål</t>
        </is>
      </c>
      <c r="D152" s="1" t="n">
        <v>44599</v>
      </c>
      <c r="E152" s="1" t="n">
        <v>46220</v>
      </c>
      <c r="F152" t="inlineStr">
        <is>
          <t>SÖDERMANLANDS LÄN</t>
        </is>
      </c>
      <c r="G152" t="inlineStr">
        <is>
          <t>GNESTA</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20168-2025</t>
        </is>
      </c>
      <c r="B153" t="inlineStr">
        <is>
          <t>avverkningsanmälan</t>
        </is>
      </c>
      <c r="C153" t="inlineStr">
        <is>
          <t>Föryngringsavverkning</t>
        </is>
      </c>
      <c r="D153" s="1" t="n">
        <v>45772</v>
      </c>
      <c r="E153" s="1" t="n">
        <v>46220</v>
      </c>
      <c r="F153" t="inlineStr">
        <is>
          <t>SÖDERMANLANDS LÄN</t>
        </is>
      </c>
      <c r="G153" t="inlineStr">
        <is>
          <t>GNESTA</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37197-2025</t>
        </is>
      </c>
      <c r="B154" t="inlineStr">
        <is>
          <t>avverkningsanmälan</t>
        </is>
      </c>
      <c r="C154" t="inlineStr">
        <is>
          <t>Föryngringsavverkning</t>
        </is>
      </c>
      <c r="D154" s="1" t="n">
        <v>45875</v>
      </c>
      <c r="E154" s="1" t="n">
        <v>46220</v>
      </c>
      <c r="F154" t="inlineStr">
        <is>
          <t>SÖDERMANLANDS LÄN</t>
        </is>
      </c>
      <c r="G154" t="inlineStr">
        <is>
          <t>GNESTA</t>
        </is>
      </c>
      <c r="I154" t="n">
        <v>3.9</v>
      </c>
      <c r="J154" t="n">
        <v>0</v>
      </c>
      <c r="K154" t="n">
        <v>0</v>
      </c>
      <c r="L154" t="n">
        <v>0</v>
      </c>
      <c r="M154" t="n">
        <v>0</v>
      </c>
      <c r="N154" t="n">
        <v>0</v>
      </c>
      <c r="O154" t="n">
        <v>0</v>
      </c>
      <c r="P154" t="n">
        <v>0</v>
      </c>
      <c r="Q154" t="n">
        <v>0</v>
      </c>
      <c r="R154" t="n">
        <v>0</v>
      </c>
      <c r="S154" t="n">
        <v>0</v>
      </c>
      <c r="T154" t="n">
        <v>0</v>
      </c>
      <c r="U154" s="2" t="inlineStr"/>
    </row>
    <row r="155" ht="15" customHeight="1">
      <c r="A155" t="inlineStr">
        <is>
          <t>A 34091-2024</t>
        </is>
      </c>
      <c r="B155" t="inlineStr">
        <is>
          <t>avverkningsanmälan</t>
        </is>
      </c>
      <c r="C155" t="inlineStr">
        <is>
          <t>Föryngringsavverkning</t>
        </is>
      </c>
      <c r="D155" s="1" t="n">
        <v>45523</v>
      </c>
      <c r="E155" s="1" t="n">
        <v>46220</v>
      </c>
      <c r="F155" t="inlineStr">
        <is>
          <t>SÖDERMANLANDS LÄN</t>
        </is>
      </c>
      <c r="G155" t="inlineStr">
        <is>
          <t>GNESTA</t>
        </is>
      </c>
      <c r="H155" t="inlineStr">
        <is>
          <t>Holmen skog AB</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3620-2025</t>
        </is>
      </c>
      <c r="B156" t="inlineStr">
        <is>
          <t>avverkningsanmälan</t>
        </is>
      </c>
      <c r="C156" t="inlineStr">
        <is>
          <t>Avverkning för annat ändamål</t>
        </is>
      </c>
      <c r="D156" s="1" t="n">
        <v>45681</v>
      </c>
      <c r="E156" s="1" t="n">
        <v>46220</v>
      </c>
      <c r="F156" t="inlineStr">
        <is>
          <t>SÖDERMANLANDS LÄN</t>
        </is>
      </c>
      <c r="G156" t="inlineStr">
        <is>
          <t>GNESTA</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38155-2025</t>
        </is>
      </c>
      <c r="B157" t="inlineStr">
        <is>
          <t>avverkningsanmälan</t>
        </is>
      </c>
      <c r="C157" t="inlineStr">
        <is>
          <t>Föryngringsavverkning</t>
        </is>
      </c>
      <c r="D157" s="1" t="n">
        <v>45882</v>
      </c>
      <c r="E157" s="1" t="n">
        <v>46220</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67-2024</t>
        </is>
      </c>
      <c r="B158" t="inlineStr">
        <is>
          <t>avverkningsanmälan</t>
        </is>
      </c>
      <c r="C158" t="inlineStr">
        <is>
          <t>Föryngringsavverkning</t>
        </is>
      </c>
      <c r="D158" s="1" t="n">
        <v>45293</v>
      </c>
      <c r="E158" s="1" t="n">
        <v>46220</v>
      </c>
      <c r="F158" t="inlineStr">
        <is>
          <t>SÖDERMANLANDS LÄN</t>
        </is>
      </c>
      <c r="G158" t="inlineStr">
        <is>
          <t>GNESTA</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21854-2023</t>
        </is>
      </c>
      <c r="B159" t="inlineStr">
        <is>
          <t>avverkningsanmälan</t>
        </is>
      </c>
      <c r="C159" t="inlineStr">
        <is>
          <t>Föryngringsavverkning</t>
        </is>
      </c>
      <c r="D159" s="1" t="n">
        <v>45068</v>
      </c>
      <c r="E159" s="1" t="n">
        <v>46220</v>
      </c>
      <c r="F159" t="inlineStr">
        <is>
          <t>SÖDERMANLANDS LÄN</t>
        </is>
      </c>
      <c r="G159" t="inlineStr">
        <is>
          <t>GNESTA</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30627-2024</t>
        </is>
      </c>
      <c r="B160" t="inlineStr">
        <is>
          <t>avverkningsanmälan</t>
        </is>
      </c>
      <c r="C160" t="inlineStr">
        <is>
          <t>Föryngringsavverkning</t>
        </is>
      </c>
      <c r="D160" s="1" t="n">
        <v>45495</v>
      </c>
      <c r="E160" s="1" t="n">
        <v>46220</v>
      </c>
      <c r="F160" t="inlineStr">
        <is>
          <t>SÖDERMANLANDS LÄN</t>
        </is>
      </c>
      <c r="G160" t="inlineStr">
        <is>
          <t>GNESTA</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41728-2021</t>
        </is>
      </c>
      <c r="B161" t="inlineStr">
        <is>
          <t>avverkningsanmälan</t>
        </is>
      </c>
      <c r="C161" t="inlineStr">
        <is>
          <t>Föryngringsavverkning</t>
        </is>
      </c>
      <c r="D161" s="1" t="n">
        <v>44425</v>
      </c>
      <c r="E161" s="1" t="n">
        <v>46220</v>
      </c>
      <c r="F161" t="inlineStr">
        <is>
          <t>SÖDERMANLANDS LÄN</t>
        </is>
      </c>
      <c r="G161" t="inlineStr">
        <is>
          <t>GNESTA</t>
        </is>
      </c>
      <c r="I161" t="n">
        <v>8.1</v>
      </c>
      <c r="J161" t="n">
        <v>0</v>
      </c>
      <c r="K161" t="n">
        <v>0</v>
      </c>
      <c r="L161" t="n">
        <v>0</v>
      </c>
      <c r="M161" t="n">
        <v>0</v>
      </c>
      <c r="N161" t="n">
        <v>0</v>
      </c>
      <c r="O161" t="n">
        <v>0</v>
      </c>
      <c r="P161" t="n">
        <v>0</v>
      </c>
      <c r="Q161" t="n">
        <v>0</v>
      </c>
      <c r="R161" t="n">
        <v>0</v>
      </c>
      <c r="S161" t="n">
        <v>0</v>
      </c>
      <c r="T161" t="n">
        <v>0</v>
      </c>
      <c r="U161" s="2" t="inlineStr"/>
    </row>
    <row r="162" ht="15" customHeight="1">
      <c r="A162" t="inlineStr">
        <is>
          <t>A 8358-2024</t>
        </is>
      </c>
      <c r="B162" t="inlineStr">
        <is>
          <t>avverkningsanmälan</t>
        </is>
      </c>
      <c r="C162" t="inlineStr">
        <is>
          <t>Föryngringsavverkning</t>
        </is>
      </c>
      <c r="D162" s="1" t="n">
        <v>45352</v>
      </c>
      <c r="E162" s="1" t="n">
        <v>46220</v>
      </c>
      <c r="F162" t="inlineStr">
        <is>
          <t>SÖDERMANLANDS LÄN</t>
        </is>
      </c>
      <c r="G162" t="inlineStr">
        <is>
          <t>GNESTA</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6394-2023</t>
        </is>
      </c>
      <c r="B163" t="inlineStr">
        <is>
          <t>avverkningsanmälan</t>
        </is>
      </c>
      <c r="C163" t="inlineStr">
        <is>
          <t>Föryngringsavverkning</t>
        </is>
      </c>
      <c r="D163" s="1" t="n">
        <v>44965</v>
      </c>
      <c r="E163" s="1" t="n">
        <v>46220</v>
      </c>
      <c r="F163" t="inlineStr">
        <is>
          <t>SÖDERMANLANDS LÄN</t>
        </is>
      </c>
      <c r="G163" t="inlineStr">
        <is>
          <t>GNESTA</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3002-2023</t>
        </is>
      </c>
      <c r="B164" t="inlineStr">
        <is>
          <t>avverkningsanmälan</t>
        </is>
      </c>
      <c r="C164" t="inlineStr">
        <is>
          <t>Föryngringsavverkning</t>
        </is>
      </c>
      <c r="D164" s="1" t="n">
        <v>44945</v>
      </c>
      <c r="E164" s="1" t="n">
        <v>46220</v>
      </c>
      <c r="F164" t="inlineStr">
        <is>
          <t>SÖDERMANLANDS LÄN</t>
        </is>
      </c>
      <c r="G164" t="inlineStr">
        <is>
          <t>GNESTA</t>
        </is>
      </c>
      <c r="H164" t="inlineStr">
        <is>
          <t>Kommuner</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5509-2026</t>
        </is>
      </c>
      <c r="B165" t="inlineStr">
        <is>
          <t>avverkningsanmälan</t>
        </is>
      </c>
      <c r="C165" t="inlineStr">
        <is>
          <t>Föryngringsavverkning</t>
        </is>
      </c>
      <c r="D165" s="1" t="n">
        <v>46050</v>
      </c>
      <c r="E165" s="1" t="n">
        <v>46220</v>
      </c>
      <c r="F165" t="inlineStr">
        <is>
          <t>SÖDERMANLANDS LÄN</t>
        </is>
      </c>
      <c r="G165" t="inlineStr">
        <is>
          <t>GNESTA</t>
        </is>
      </c>
      <c r="I165" t="n">
        <v>3.5</v>
      </c>
      <c r="J165" t="n">
        <v>0</v>
      </c>
      <c r="K165" t="n">
        <v>0</v>
      </c>
      <c r="L165" t="n">
        <v>0</v>
      </c>
      <c r="M165" t="n">
        <v>0</v>
      </c>
      <c r="N165" t="n">
        <v>0</v>
      </c>
      <c r="O165" t="n">
        <v>0</v>
      </c>
      <c r="P165" t="n">
        <v>0</v>
      </c>
      <c r="Q165" t="n">
        <v>0</v>
      </c>
      <c r="R165" t="n">
        <v>0</v>
      </c>
      <c r="S165" t="n">
        <v>0</v>
      </c>
      <c r="T165" t="n">
        <v>0</v>
      </c>
      <c r="U165" s="2" t="inlineStr"/>
    </row>
    <row r="166" ht="15" customHeight="1">
      <c r="A166" t="inlineStr">
        <is>
          <t>A 38894-2023</t>
        </is>
      </c>
      <c r="B166" t="inlineStr">
        <is>
          <t>avverkningsanmälan</t>
        </is>
      </c>
      <c r="C166" t="inlineStr">
        <is>
          <t>Föryngringsavverkning</t>
        </is>
      </c>
      <c r="D166" s="1" t="n">
        <v>45163</v>
      </c>
      <c r="E166" s="1" t="n">
        <v>46220</v>
      </c>
      <c r="F166" t="inlineStr">
        <is>
          <t>SÖDERMANLANDS LÄN</t>
        </is>
      </c>
      <c r="G166" t="inlineStr">
        <is>
          <t>GNESTA</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36162-2022</t>
        </is>
      </c>
      <c r="B167" t="inlineStr">
        <is>
          <t>avverkningsanmälan</t>
        </is>
      </c>
      <c r="C167" t="inlineStr">
        <is>
          <t>Föryngringsavverkning</t>
        </is>
      </c>
      <c r="D167" s="1" t="n">
        <v>44803</v>
      </c>
      <c r="E167" s="1" t="n">
        <v>46220</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7735-2023</t>
        </is>
      </c>
      <c r="B168" t="inlineStr">
        <is>
          <t>avverkningsanmälan</t>
        </is>
      </c>
      <c r="C168" t="inlineStr">
        <is>
          <t>Föryngringsavverkning</t>
        </is>
      </c>
      <c r="D168" s="1" t="n">
        <v>44973</v>
      </c>
      <c r="E168" s="1" t="n">
        <v>46220</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57183-2025</t>
        </is>
      </c>
      <c r="B169" t="inlineStr">
        <is>
          <t>avverkningsanmälan</t>
        </is>
      </c>
      <c r="C169" t="inlineStr">
        <is>
          <t>Föryngringsavverkning</t>
        </is>
      </c>
      <c r="D169" s="1" t="n">
        <v>45979</v>
      </c>
      <c r="E169" s="1" t="n">
        <v>46220</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7835-2026</t>
        </is>
      </c>
      <c r="B170" t="inlineStr">
        <is>
          <t>avverkningsanmälan</t>
        </is>
      </c>
      <c r="C170" t="inlineStr">
        <is>
          <t>Föryngringsavverkning</t>
        </is>
      </c>
      <c r="D170" s="1" t="n">
        <v>46062</v>
      </c>
      <c r="E170" s="1" t="n">
        <v>46220</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7745-2026</t>
        </is>
      </c>
      <c r="B171" t="inlineStr">
        <is>
          <t>avverkningsanmälan</t>
        </is>
      </c>
      <c r="C171" t="inlineStr">
        <is>
          <t>Föryngringsavverkning</t>
        </is>
      </c>
      <c r="D171" s="1" t="n">
        <v>46062</v>
      </c>
      <c r="E171" s="1" t="n">
        <v>46220</v>
      </c>
      <c r="F171" t="inlineStr">
        <is>
          <t>SÖDERMANLANDS LÄN</t>
        </is>
      </c>
      <c r="G171" t="inlineStr">
        <is>
          <t>GNESTA</t>
        </is>
      </c>
      <c r="H171" t="inlineStr">
        <is>
          <t>Allmännings- och besparingsskogar</t>
        </is>
      </c>
      <c r="I171" t="n">
        <v>8.300000000000001</v>
      </c>
      <c r="J171" t="n">
        <v>0</v>
      </c>
      <c r="K171" t="n">
        <v>0</v>
      </c>
      <c r="L171" t="n">
        <v>0</v>
      </c>
      <c r="M171" t="n">
        <v>0</v>
      </c>
      <c r="N171" t="n">
        <v>0</v>
      </c>
      <c r="O171" t="n">
        <v>0</v>
      </c>
      <c r="P171" t="n">
        <v>0</v>
      </c>
      <c r="Q171" t="n">
        <v>0</v>
      </c>
      <c r="R171" t="n">
        <v>0</v>
      </c>
      <c r="S171" t="n">
        <v>0</v>
      </c>
      <c r="T171" t="n">
        <v>0</v>
      </c>
      <c r="U171" s="2" t="inlineStr"/>
    </row>
    <row r="172" ht="15" customHeight="1">
      <c r="A172" t="inlineStr">
        <is>
          <t>A 57341-2025</t>
        </is>
      </c>
      <c r="B172" t="inlineStr">
        <is>
          <t>avverkningsanmälan</t>
        </is>
      </c>
      <c r="C172" t="inlineStr">
        <is>
          <t>Föryngringsavverkning</t>
        </is>
      </c>
      <c r="D172" s="1" t="n">
        <v>45979</v>
      </c>
      <c r="E172" s="1" t="n">
        <v>46220</v>
      </c>
      <c r="F172" t="inlineStr">
        <is>
          <t>SÖDERMANLANDS LÄN</t>
        </is>
      </c>
      <c r="G172" t="inlineStr">
        <is>
          <t>GNESTA</t>
        </is>
      </c>
      <c r="I172" t="n">
        <v>17.5</v>
      </c>
      <c r="J172" t="n">
        <v>0</v>
      </c>
      <c r="K172" t="n">
        <v>0</v>
      </c>
      <c r="L172" t="n">
        <v>0</v>
      </c>
      <c r="M172" t="n">
        <v>0</v>
      </c>
      <c r="N172" t="n">
        <v>0</v>
      </c>
      <c r="O172" t="n">
        <v>0</v>
      </c>
      <c r="P172" t="n">
        <v>0</v>
      </c>
      <c r="Q172" t="n">
        <v>0</v>
      </c>
      <c r="R172" t="n">
        <v>0</v>
      </c>
      <c r="S172" t="n">
        <v>0</v>
      </c>
      <c r="T172" t="n">
        <v>0</v>
      </c>
      <c r="U172" s="2" t="inlineStr"/>
    </row>
    <row r="173" ht="15" customHeight="1">
      <c r="A173" t="inlineStr">
        <is>
          <t>A 22166-2024</t>
        </is>
      </c>
      <c r="B173" t="inlineStr">
        <is>
          <t>avverkningsanmälan</t>
        </is>
      </c>
      <c r="C173" t="inlineStr">
        <is>
          <t>Föryngringsavverkning</t>
        </is>
      </c>
      <c r="D173" s="1" t="n">
        <v>45446</v>
      </c>
      <c r="E173" s="1" t="n">
        <v>46220</v>
      </c>
      <c r="F173" t="inlineStr">
        <is>
          <t>SÖDERMANLANDS LÄN</t>
        </is>
      </c>
      <c r="G173" t="inlineStr">
        <is>
          <t>GNESTA</t>
        </is>
      </c>
      <c r="I173" t="n">
        <v>2.5</v>
      </c>
      <c r="J173" t="n">
        <v>0</v>
      </c>
      <c r="K173" t="n">
        <v>0</v>
      </c>
      <c r="L173" t="n">
        <v>0</v>
      </c>
      <c r="M173" t="n">
        <v>0</v>
      </c>
      <c r="N173" t="n">
        <v>0</v>
      </c>
      <c r="O173" t="n">
        <v>0</v>
      </c>
      <c r="P173" t="n">
        <v>0</v>
      </c>
      <c r="Q173" t="n">
        <v>0</v>
      </c>
      <c r="R173" t="n">
        <v>0</v>
      </c>
      <c r="S173" t="n">
        <v>0</v>
      </c>
      <c r="T173" t="n">
        <v>0</v>
      </c>
      <c r="U173" s="2" t="inlineStr"/>
    </row>
    <row r="174" ht="15" customHeight="1">
      <c r="A174" t="inlineStr">
        <is>
          <t>A 29987-2024</t>
        </is>
      </c>
      <c r="B174" t="inlineStr">
        <is>
          <t>avverkningsanmälan</t>
        </is>
      </c>
      <c r="C174" t="inlineStr">
        <is>
          <t>Föryngringsavverkning</t>
        </is>
      </c>
      <c r="D174" s="1" t="n">
        <v>45488</v>
      </c>
      <c r="E174" s="1" t="n">
        <v>46220</v>
      </c>
      <c r="F174" t="inlineStr">
        <is>
          <t>SÖDERMANLANDS LÄN</t>
        </is>
      </c>
      <c r="G174" t="inlineStr">
        <is>
          <t>GNESTA</t>
        </is>
      </c>
      <c r="I174" t="n">
        <v>7.2</v>
      </c>
      <c r="J174" t="n">
        <v>0</v>
      </c>
      <c r="K174" t="n">
        <v>0</v>
      </c>
      <c r="L174" t="n">
        <v>0</v>
      </c>
      <c r="M174" t="n">
        <v>0</v>
      </c>
      <c r="N174" t="n">
        <v>0</v>
      </c>
      <c r="O174" t="n">
        <v>0</v>
      </c>
      <c r="P174" t="n">
        <v>0</v>
      </c>
      <c r="Q174" t="n">
        <v>0</v>
      </c>
      <c r="R174" t="n">
        <v>0</v>
      </c>
      <c r="S174" t="n">
        <v>0</v>
      </c>
      <c r="T174" t="n">
        <v>0</v>
      </c>
      <c r="U174" s="2" t="inlineStr"/>
    </row>
    <row r="175" ht="15" customHeight="1">
      <c r="A175" t="inlineStr">
        <is>
          <t>A 16927-2024</t>
        </is>
      </c>
      <c r="B175" t="inlineStr">
        <is>
          <t>avverkningsanmälan</t>
        </is>
      </c>
      <c r="C175" t="inlineStr">
        <is>
          <t>Föryngringsavverkning</t>
        </is>
      </c>
      <c r="D175" s="1" t="n">
        <v>45411</v>
      </c>
      <c r="E175" s="1" t="n">
        <v>46220</v>
      </c>
      <c r="F175" t="inlineStr">
        <is>
          <t>SÖDERMANLANDS LÄN</t>
        </is>
      </c>
      <c r="G175" t="inlineStr">
        <is>
          <t>GNESTA</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60157-2025</t>
        </is>
      </c>
      <c r="B176" t="inlineStr">
        <is>
          <t>avverkningsanmälan</t>
        </is>
      </c>
      <c r="C176" t="inlineStr">
        <is>
          <t>Föryngringsavverkning</t>
        </is>
      </c>
      <c r="D176" s="1" t="n">
        <v>45994</v>
      </c>
      <c r="E176" s="1" t="n">
        <v>46220</v>
      </c>
      <c r="F176" t="inlineStr">
        <is>
          <t>SÖDERMANLANDS LÄN</t>
        </is>
      </c>
      <c r="G176" t="inlineStr">
        <is>
          <t>GNESTA</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60193-2025</t>
        </is>
      </c>
      <c r="B177" t="inlineStr">
        <is>
          <t>avverkningsanmälan</t>
        </is>
      </c>
      <c r="C177" t="inlineStr">
        <is>
          <t>Föryngringsavverkning</t>
        </is>
      </c>
      <c r="D177" s="1" t="n">
        <v>45994</v>
      </c>
      <c r="E177" s="1" t="n">
        <v>46220</v>
      </c>
      <c r="F177" t="inlineStr">
        <is>
          <t>SÖDERMANLANDS LÄN</t>
        </is>
      </c>
      <c r="G177" t="inlineStr">
        <is>
          <t>GNESTA</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21172-2023</t>
        </is>
      </c>
      <c r="B178" t="inlineStr">
        <is>
          <t>avverkningsanmälan</t>
        </is>
      </c>
      <c r="C178" t="inlineStr">
        <is>
          <t>Avverkning för annat ändamål</t>
        </is>
      </c>
      <c r="D178" s="1" t="n">
        <v>45062</v>
      </c>
      <c r="E178" s="1" t="n">
        <v>46220</v>
      </c>
      <c r="F178" t="inlineStr">
        <is>
          <t>SÖDERMANLANDS LÄN</t>
        </is>
      </c>
      <c r="G178" t="inlineStr">
        <is>
          <t>GNESTA</t>
        </is>
      </c>
      <c r="H178" t="inlineStr">
        <is>
          <t>Övriga Aktiebolag</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4391-2022</t>
        </is>
      </c>
      <c r="B179" t="inlineStr">
        <is>
          <t>avverkningsanmälan</t>
        </is>
      </c>
      <c r="C179" t="inlineStr">
        <is>
          <t>Föryngringsavverkning</t>
        </is>
      </c>
      <c r="D179" s="1" t="n">
        <v>44589</v>
      </c>
      <c r="E179" s="1" t="n">
        <v>46220</v>
      </c>
      <c r="F179" t="inlineStr">
        <is>
          <t>SÖDERMANLANDS LÄN</t>
        </is>
      </c>
      <c r="G179" t="inlineStr">
        <is>
          <t>GNESTA</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45766-2023</t>
        </is>
      </c>
      <c r="B180" t="inlineStr">
        <is>
          <t>avverkningsanmälan</t>
        </is>
      </c>
      <c r="C180" t="inlineStr">
        <is>
          <t>Föryngringsavverkning</t>
        </is>
      </c>
      <c r="D180" s="1" t="n">
        <v>45195</v>
      </c>
      <c r="E180" s="1" t="n">
        <v>46220</v>
      </c>
      <c r="F180" t="inlineStr">
        <is>
          <t>SÖDERMANLANDS LÄN</t>
        </is>
      </c>
      <c r="G180" t="inlineStr">
        <is>
          <t>GNESTA</t>
        </is>
      </c>
      <c r="I180" t="n">
        <v>6.7</v>
      </c>
      <c r="J180" t="n">
        <v>0</v>
      </c>
      <c r="K180" t="n">
        <v>0</v>
      </c>
      <c r="L180" t="n">
        <v>0</v>
      </c>
      <c r="M180" t="n">
        <v>0</v>
      </c>
      <c r="N180" t="n">
        <v>0</v>
      </c>
      <c r="O180" t="n">
        <v>0</v>
      </c>
      <c r="P180" t="n">
        <v>0</v>
      </c>
      <c r="Q180" t="n">
        <v>0</v>
      </c>
      <c r="R180" t="n">
        <v>0</v>
      </c>
      <c r="S180" t="n">
        <v>0</v>
      </c>
      <c r="T180" t="n">
        <v>0</v>
      </c>
      <c r="U180" s="2" t="inlineStr"/>
    </row>
    <row r="181" ht="15" customHeight="1">
      <c r="A181" t="inlineStr">
        <is>
          <t>A 28458-2023</t>
        </is>
      </c>
      <c r="B181" t="inlineStr">
        <is>
          <t>avverkningsanmälan</t>
        </is>
      </c>
      <c r="C181" t="inlineStr">
        <is>
          <t>Föryngringsavverkning</t>
        </is>
      </c>
      <c r="D181" s="1" t="n">
        <v>45103</v>
      </c>
      <c r="E181" s="1" t="n">
        <v>46220</v>
      </c>
      <c r="F181" t="inlineStr">
        <is>
          <t>SÖDERMANLANDS LÄN</t>
        </is>
      </c>
      <c r="G181" t="inlineStr">
        <is>
          <t>GNESTA</t>
        </is>
      </c>
      <c r="I181" t="n">
        <v>6.4</v>
      </c>
      <c r="J181" t="n">
        <v>0</v>
      </c>
      <c r="K181" t="n">
        <v>0</v>
      </c>
      <c r="L181" t="n">
        <v>0</v>
      </c>
      <c r="M181" t="n">
        <v>0</v>
      </c>
      <c r="N181" t="n">
        <v>0</v>
      </c>
      <c r="O181" t="n">
        <v>0</v>
      </c>
      <c r="P181" t="n">
        <v>0</v>
      </c>
      <c r="Q181" t="n">
        <v>0</v>
      </c>
      <c r="R181" t="n">
        <v>0</v>
      </c>
      <c r="S181" t="n">
        <v>0</v>
      </c>
      <c r="T181" t="n">
        <v>0</v>
      </c>
      <c r="U181" s="2" t="inlineStr"/>
    </row>
    <row r="182" ht="15" customHeight="1">
      <c r="A182" t="inlineStr">
        <is>
          <t>A 62071-2025</t>
        </is>
      </c>
      <c r="B182" t="inlineStr">
        <is>
          <t>avverkningsanmälan</t>
        </is>
      </c>
      <c r="C182" t="inlineStr">
        <is>
          <t>Föryngringsavverkning</t>
        </is>
      </c>
      <c r="D182" s="1" t="n">
        <v>46006</v>
      </c>
      <c r="E182" s="1" t="n">
        <v>46220</v>
      </c>
      <c r="F182" t="inlineStr">
        <is>
          <t>SÖDERMANLANDS LÄN</t>
        </is>
      </c>
      <c r="G182" t="inlineStr">
        <is>
          <t>GNESTA</t>
        </is>
      </c>
      <c r="I182" t="n">
        <v>1.9</v>
      </c>
      <c r="J182" t="n">
        <v>0</v>
      </c>
      <c r="K182" t="n">
        <v>0</v>
      </c>
      <c r="L182" t="n">
        <v>0</v>
      </c>
      <c r="M182" t="n">
        <v>0</v>
      </c>
      <c r="N182" t="n">
        <v>0</v>
      </c>
      <c r="O182" t="n">
        <v>0</v>
      </c>
      <c r="P182" t="n">
        <v>0</v>
      </c>
      <c r="Q182" t="n">
        <v>0</v>
      </c>
      <c r="R182" t="n">
        <v>0</v>
      </c>
      <c r="S182" t="n">
        <v>0</v>
      </c>
      <c r="T182" t="n">
        <v>0</v>
      </c>
      <c r="U182" s="2" t="inlineStr"/>
    </row>
    <row r="183" ht="15" customHeight="1">
      <c r="A183" t="inlineStr">
        <is>
          <t>A 44788-2022</t>
        </is>
      </c>
      <c r="B183" t="inlineStr">
        <is>
          <t>avverkningsanmälan</t>
        </is>
      </c>
      <c r="C183" t="inlineStr">
        <is>
          <t>Föryngringsavverkning</t>
        </is>
      </c>
      <c r="D183" s="1" t="n">
        <v>44839</v>
      </c>
      <c r="E183" s="1" t="n">
        <v>46220</v>
      </c>
      <c r="F183" t="inlineStr">
        <is>
          <t>SÖDERMANLANDS LÄN</t>
        </is>
      </c>
      <c r="G183" t="inlineStr">
        <is>
          <t>GNESTA</t>
        </is>
      </c>
      <c r="I183" t="n">
        <v>7</v>
      </c>
      <c r="J183" t="n">
        <v>0</v>
      </c>
      <c r="K183" t="n">
        <v>0</v>
      </c>
      <c r="L183" t="n">
        <v>0</v>
      </c>
      <c r="M183" t="n">
        <v>0</v>
      </c>
      <c r="N183" t="n">
        <v>0</v>
      </c>
      <c r="O183" t="n">
        <v>0</v>
      </c>
      <c r="P183" t="n">
        <v>0</v>
      </c>
      <c r="Q183" t="n">
        <v>0</v>
      </c>
      <c r="R183" t="n">
        <v>0</v>
      </c>
      <c r="S183" t="n">
        <v>0</v>
      </c>
      <c r="T183" t="n">
        <v>0</v>
      </c>
      <c r="U183" s="2" t="inlineStr"/>
    </row>
    <row r="184" ht="15" customHeight="1">
      <c r="A184" t="inlineStr">
        <is>
          <t>A 62503-2025</t>
        </is>
      </c>
      <c r="B184" t="inlineStr">
        <is>
          <t>avverkningsanmälan</t>
        </is>
      </c>
      <c r="C184" t="inlineStr">
        <is>
          <t>Föryngringsavverkning</t>
        </is>
      </c>
      <c r="D184" s="1" t="n">
        <v>46007</v>
      </c>
      <c r="E184" s="1" t="n">
        <v>46220</v>
      </c>
      <c r="F184" t="inlineStr">
        <is>
          <t>SÖDERMANLANDS LÄN</t>
        </is>
      </c>
      <c r="G184" t="inlineStr">
        <is>
          <t>GNESTA</t>
        </is>
      </c>
      <c r="I184" t="n">
        <v>3.5</v>
      </c>
      <c r="J184" t="n">
        <v>0</v>
      </c>
      <c r="K184" t="n">
        <v>0</v>
      </c>
      <c r="L184" t="n">
        <v>0</v>
      </c>
      <c r="M184" t="n">
        <v>0</v>
      </c>
      <c r="N184" t="n">
        <v>0</v>
      </c>
      <c r="O184" t="n">
        <v>0</v>
      </c>
      <c r="P184" t="n">
        <v>0</v>
      </c>
      <c r="Q184" t="n">
        <v>0</v>
      </c>
      <c r="R184" t="n">
        <v>0</v>
      </c>
      <c r="S184" t="n">
        <v>0</v>
      </c>
      <c r="T184" t="n">
        <v>0</v>
      </c>
      <c r="U184" s="2" t="inlineStr"/>
    </row>
    <row r="185" ht="15" customHeight="1">
      <c r="A185" t="inlineStr">
        <is>
          <t>A 36333-2023</t>
        </is>
      </c>
      <c r="B185" t="inlineStr">
        <is>
          <t>avverkningsanmälan</t>
        </is>
      </c>
      <c r="C185" t="inlineStr">
        <is>
          <t>Föryngringsavverkning</t>
        </is>
      </c>
      <c r="D185" s="1" t="n">
        <v>45152</v>
      </c>
      <c r="E185" s="1" t="n">
        <v>46220</v>
      </c>
      <c r="F185" t="inlineStr">
        <is>
          <t>SÖDERMANLANDS LÄN</t>
        </is>
      </c>
      <c r="G185" t="inlineStr">
        <is>
          <t>GNESTA</t>
        </is>
      </c>
      <c r="I185" t="n">
        <v>4.9</v>
      </c>
      <c r="J185" t="n">
        <v>0</v>
      </c>
      <c r="K185" t="n">
        <v>0</v>
      </c>
      <c r="L185" t="n">
        <v>0</v>
      </c>
      <c r="M185" t="n">
        <v>0</v>
      </c>
      <c r="N185" t="n">
        <v>0</v>
      </c>
      <c r="O185" t="n">
        <v>0</v>
      </c>
      <c r="P185" t="n">
        <v>0</v>
      </c>
      <c r="Q185" t="n">
        <v>0</v>
      </c>
      <c r="R185" t="n">
        <v>0</v>
      </c>
      <c r="S185" t="n">
        <v>0</v>
      </c>
      <c r="T185" t="n">
        <v>0</v>
      </c>
      <c r="U185" s="2" t="inlineStr"/>
    </row>
    <row r="186" ht="15" customHeight="1">
      <c r="A186" t="inlineStr">
        <is>
          <t>A 62740-2025</t>
        </is>
      </c>
      <c r="B186" t="inlineStr">
        <is>
          <t>avverkningsanmälan</t>
        </is>
      </c>
      <c r="C186" t="inlineStr">
        <is>
          <t>Föryngringsavverkning</t>
        </is>
      </c>
      <c r="D186" s="1" t="n">
        <v>46008</v>
      </c>
      <c r="E186" s="1" t="n">
        <v>46220</v>
      </c>
      <c r="F186" t="inlineStr">
        <is>
          <t>SÖDERMANLANDS LÄN</t>
        </is>
      </c>
      <c r="G186" t="inlineStr">
        <is>
          <t>GNESTA</t>
        </is>
      </c>
      <c r="I186" t="n">
        <v>2</v>
      </c>
      <c r="J186" t="n">
        <v>0</v>
      </c>
      <c r="K186" t="n">
        <v>0</v>
      </c>
      <c r="L186" t="n">
        <v>0</v>
      </c>
      <c r="M186" t="n">
        <v>0</v>
      </c>
      <c r="N186" t="n">
        <v>0</v>
      </c>
      <c r="O186" t="n">
        <v>0</v>
      </c>
      <c r="P186" t="n">
        <v>0</v>
      </c>
      <c r="Q186" t="n">
        <v>0</v>
      </c>
      <c r="R186" t="n">
        <v>0</v>
      </c>
      <c r="S186" t="n">
        <v>0</v>
      </c>
      <c r="T186" t="n">
        <v>0</v>
      </c>
      <c r="U186" s="2" t="inlineStr"/>
    </row>
    <row r="187" ht="15" customHeight="1">
      <c r="A187" t="inlineStr">
        <is>
          <t>A 10015-2026</t>
        </is>
      </c>
      <c r="B187" t="inlineStr">
        <is>
          <t>avverkningsanmälan</t>
        </is>
      </c>
      <c r="C187" t="inlineStr">
        <is>
          <t>Föryngringsavverkning</t>
        </is>
      </c>
      <c r="D187" s="1" t="n">
        <v>46073</v>
      </c>
      <c r="E187" s="1" t="n">
        <v>46220</v>
      </c>
      <c r="F187" t="inlineStr">
        <is>
          <t>SÖDERMANLANDS LÄN</t>
        </is>
      </c>
      <c r="G187" t="inlineStr">
        <is>
          <t>GNESTA</t>
        </is>
      </c>
      <c r="I187" t="n">
        <v>5.5</v>
      </c>
      <c r="J187" t="n">
        <v>0</v>
      </c>
      <c r="K187" t="n">
        <v>0</v>
      </c>
      <c r="L187" t="n">
        <v>0</v>
      </c>
      <c r="M187" t="n">
        <v>0</v>
      </c>
      <c r="N187" t="n">
        <v>0</v>
      </c>
      <c r="O187" t="n">
        <v>0</v>
      </c>
      <c r="P187" t="n">
        <v>0</v>
      </c>
      <c r="Q187" t="n">
        <v>0</v>
      </c>
      <c r="R187" t="n">
        <v>0</v>
      </c>
      <c r="S187" t="n">
        <v>0</v>
      </c>
      <c r="T187" t="n">
        <v>0</v>
      </c>
      <c r="U187" s="2" t="inlineStr"/>
    </row>
    <row r="188" ht="15" customHeight="1">
      <c r="A188" t="inlineStr">
        <is>
          <t>A 42516-2022</t>
        </is>
      </c>
      <c r="B188" t="inlineStr">
        <is>
          <t>avverkningsanmälan</t>
        </is>
      </c>
      <c r="C188" t="inlineStr">
        <is>
          <t>Föryngringsavverkning</t>
        </is>
      </c>
      <c r="D188" s="1" t="n">
        <v>44831</v>
      </c>
      <c r="E188" s="1" t="n">
        <v>46220</v>
      </c>
      <c r="F188" t="inlineStr">
        <is>
          <t>SÖDERMANLANDS LÄN</t>
        </is>
      </c>
      <c r="G188" t="inlineStr">
        <is>
          <t>GNESTA</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10011-2026</t>
        </is>
      </c>
      <c r="B189" t="inlineStr">
        <is>
          <t>avverkningsanmälan</t>
        </is>
      </c>
      <c r="C189" t="inlineStr">
        <is>
          <t>Föryngringsavverkning</t>
        </is>
      </c>
      <c r="D189" s="1" t="n">
        <v>46073</v>
      </c>
      <c r="E189" s="1" t="n">
        <v>46220</v>
      </c>
      <c r="F189" t="inlineStr">
        <is>
          <t>SÖDERMANLANDS LÄN</t>
        </is>
      </c>
      <c r="G189" t="inlineStr">
        <is>
          <t>GNESTA</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10029-2026</t>
        </is>
      </c>
      <c r="B190" t="inlineStr">
        <is>
          <t>avverkningsanmälan</t>
        </is>
      </c>
      <c r="C190" t="inlineStr">
        <is>
          <t>Föryngringsavverkning</t>
        </is>
      </c>
      <c r="D190" s="1" t="n">
        <v>46073</v>
      </c>
      <c r="E190" s="1" t="n">
        <v>46220</v>
      </c>
      <c r="F190" t="inlineStr">
        <is>
          <t>SÖDERMANLANDS LÄN</t>
        </is>
      </c>
      <c r="G190" t="inlineStr">
        <is>
          <t>GNESTA</t>
        </is>
      </c>
      <c r="I190" t="n">
        <v>17.1</v>
      </c>
      <c r="J190" t="n">
        <v>0</v>
      </c>
      <c r="K190" t="n">
        <v>0</v>
      </c>
      <c r="L190" t="n">
        <v>0</v>
      </c>
      <c r="M190" t="n">
        <v>0</v>
      </c>
      <c r="N190" t="n">
        <v>0</v>
      </c>
      <c r="O190" t="n">
        <v>0</v>
      </c>
      <c r="P190" t="n">
        <v>0</v>
      </c>
      <c r="Q190" t="n">
        <v>0</v>
      </c>
      <c r="R190" t="n">
        <v>0</v>
      </c>
      <c r="S190" t="n">
        <v>0</v>
      </c>
      <c r="T190" t="n">
        <v>0</v>
      </c>
      <c r="U190" s="2" t="inlineStr"/>
    </row>
    <row r="191" ht="15" customHeight="1">
      <c r="A191" t="inlineStr">
        <is>
          <t>A 10017-2026</t>
        </is>
      </c>
      <c r="B191" t="inlineStr">
        <is>
          <t>avverkningsanmälan</t>
        </is>
      </c>
      <c r="C191" t="inlineStr">
        <is>
          <t>Föryngringsavverkning</t>
        </is>
      </c>
      <c r="D191" s="1" t="n">
        <v>46073</v>
      </c>
      <c r="E191" s="1" t="n">
        <v>46220</v>
      </c>
      <c r="F191" t="inlineStr">
        <is>
          <t>SÖDERMANLANDS LÄN</t>
        </is>
      </c>
      <c r="G191" t="inlineStr">
        <is>
          <t>GNESTA</t>
        </is>
      </c>
      <c r="I191" t="n">
        <v>5</v>
      </c>
      <c r="J191" t="n">
        <v>0</v>
      </c>
      <c r="K191" t="n">
        <v>0</v>
      </c>
      <c r="L191" t="n">
        <v>0</v>
      </c>
      <c r="M191" t="n">
        <v>0</v>
      </c>
      <c r="N191" t="n">
        <v>0</v>
      </c>
      <c r="O191" t="n">
        <v>0</v>
      </c>
      <c r="P191" t="n">
        <v>0</v>
      </c>
      <c r="Q191" t="n">
        <v>0</v>
      </c>
      <c r="R191" t="n">
        <v>0</v>
      </c>
      <c r="S191" t="n">
        <v>0</v>
      </c>
      <c r="T191" t="n">
        <v>0</v>
      </c>
      <c r="U191" s="2" t="inlineStr"/>
    </row>
    <row r="192" ht="15" customHeight="1">
      <c r="A192" t="inlineStr">
        <is>
          <t>A 5911-2023</t>
        </is>
      </c>
      <c r="B192" t="inlineStr">
        <is>
          <t>avverkningsanmälan</t>
        </is>
      </c>
      <c r="C192" t="inlineStr">
        <is>
          <t>Föryngringsavverkning</t>
        </is>
      </c>
      <c r="D192" s="1" t="n">
        <v>44963</v>
      </c>
      <c r="E192" s="1" t="n">
        <v>46220</v>
      </c>
      <c r="F192" t="inlineStr">
        <is>
          <t>SÖDERMANLANDS LÄN</t>
        </is>
      </c>
      <c r="G192" t="inlineStr">
        <is>
          <t>GNESTA</t>
        </is>
      </c>
      <c r="I192" t="n">
        <v>2.8</v>
      </c>
      <c r="J192" t="n">
        <v>0</v>
      </c>
      <c r="K192" t="n">
        <v>0</v>
      </c>
      <c r="L192" t="n">
        <v>0</v>
      </c>
      <c r="M192" t="n">
        <v>0</v>
      </c>
      <c r="N192" t="n">
        <v>0</v>
      </c>
      <c r="O192" t="n">
        <v>0</v>
      </c>
      <c r="P192" t="n">
        <v>0</v>
      </c>
      <c r="Q192" t="n">
        <v>0</v>
      </c>
      <c r="R192" t="n">
        <v>0</v>
      </c>
      <c r="S192" t="n">
        <v>0</v>
      </c>
      <c r="T192" t="n">
        <v>0</v>
      </c>
      <c r="U192" s="2" t="inlineStr"/>
    </row>
    <row r="193" ht="15" customHeight="1">
      <c r="A193" t="inlineStr">
        <is>
          <t>A 41728-2021</t>
        </is>
      </c>
      <c r="B193" t="inlineStr">
        <is>
          <t>avverkningsanmälan</t>
        </is>
      </c>
      <c r="C193" t="inlineStr">
        <is>
          <t>Föryngringsavverkning</t>
        </is>
      </c>
      <c r="D193" s="1" t="n">
        <v>44425</v>
      </c>
      <c r="E193" s="1" t="n">
        <v>46220</v>
      </c>
      <c r="F193" t="inlineStr">
        <is>
          <t>SÖDERMANLANDS LÄN</t>
        </is>
      </c>
      <c r="G193" t="inlineStr">
        <is>
          <t>GNESTA</t>
        </is>
      </c>
      <c r="I193" t="n">
        <v>8.1</v>
      </c>
      <c r="J193" t="n">
        <v>0</v>
      </c>
      <c r="K193" t="n">
        <v>0</v>
      </c>
      <c r="L193" t="n">
        <v>0</v>
      </c>
      <c r="M193" t="n">
        <v>0</v>
      </c>
      <c r="N193" t="n">
        <v>0</v>
      </c>
      <c r="O193" t="n">
        <v>0</v>
      </c>
      <c r="P193" t="n">
        <v>0</v>
      </c>
      <c r="Q193" t="n">
        <v>0</v>
      </c>
      <c r="R193" t="n">
        <v>0</v>
      </c>
      <c r="S193" t="n">
        <v>0</v>
      </c>
      <c r="T193" t="n">
        <v>0</v>
      </c>
      <c r="U193" s="2" t="inlineStr"/>
    </row>
    <row r="194" ht="15" customHeight="1">
      <c r="A194" t="inlineStr">
        <is>
          <t>A 18406-2023</t>
        </is>
      </c>
      <c r="B194" t="inlineStr">
        <is>
          <t>avverkningsanmälan</t>
        </is>
      </c>
      <c r="C194" t="inlineStr">
        <is>
          <t>Avverkning för att bevara och utveckla /försöksver</t>
        </is>
      </c>
      <c r="D194" s="1" t="n">
        <v>45042</v>
      </c>
      <c r="E194" s="1" t="n">
        <v>46220</v>
      </c>
      <c r="F194" t="inlineStr">
        <is>
          <t>SÖDERMANLANDS LÄN</t>
        </is>
      </c>
      <c r="G194" t="inlineStr">
        <is>
          <t>GNESTA</t>
        </is>
      </c>
      <c r="H194" t="inlineStr">
        <is>
          <t>Holmen skog AB</t>
        </is>
      </c>
      <c r="I194" t="n">
        <v>3.7</v>
      </c>
      <c r="J194" t="n">
        <v>0</v>
      </c>
      <c r="K194" t="n">
        <v>0</v>
      </c>
      <c r="L194" t="n">
        <v>0</v>
      </c>
      <c r="M194" t="n">
        <v>0</v>
      </c>
      <c r="N194" t="n">
        <v>0</v>
      </c>
      <c r="O194" t="n">
        <v>0</v>
      </c>
      <c r="P194" t="n">
        <v>0</v>
      </c>
      <c r="Q194" t="n">
        <v>0</v>
      </c>
      <c r="R194" t="n">
        <v>0</v>
      </c>
      <c r="S194" t="n">
        <v>0</v>
      </c>
      <c r="T194" t="n">
        <v>0</v>
      </c>
      <c r="U194" s="2" t="inlineStr"/>
    </row>
    <row r="195" ht="15" customHeight="1">
      <c r="A195" t="inlineStr">
        <is>
          <t>A 14055-2023</t>
        </is>
      </c>
      <c r="B195" t="inlineStr">
        <is>
          <t>avverkningsanmälan</t>
        </is>
      </c>
      <c r="C195" t="inlineStr">
        <is>
          <t>Föryngringsavverkning</t>
        </is>
      </c>
      <c r="D195" s="1" t="n">
        <v>45008</v>
      </c>
      <c r="E195" s="1" t="n">
        <v>46220</v>
      </c>
      <c r="F195" t="inlineStr">
        <is>
          <t>SÖDERMANLANDS LÄN</t>
        </is>
      </c>
      <c r="G195" t="inlineStr">
        <is>
          <t>GNESTA</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20033-2022</t>
        </is>
      </c>
      <c r="B196" t="inlineStr">
        <is>
          <t>avverkningsanmälan</t>
        </is>
      </c>
      <c r="C196" t="inlineStr">
        <is>
          <t>Föryngringsavverkning</t>
        </is>
      </c>
      <c r="D196" s="1" t="n">
        <v>44697</v>
      </c>
      <c r="E196" s="1" t="n">
        <v>46220</v>
      </c>
      <c r="F196" t="inlineStr">
        <is>
          <t>SÖDERMANLANDS LÄN</t>
        </is>
      </c>
      <c r="G196" t="inlineStr">
        <is>
          <t>GNESTA</t>
        </is>
      </c>
      <c r="I196" t="n">
        <v>11.9</v>
      </c>
      <c r="J196" t="n">
        <v>0</v>
      </c>
      <c r="K196" t="n">
        <v>0</v>
      </c>
      <c r="L196" t="n">
        <v>0</v>
      </c>
      <c r="M196" t="n">
        <v>0</v>
      </c>
      <c r="N196" t="n">
        <v>0</v>
      </c>
      <c r="O196" t="n">
        <v>0</v>
      </c>
      <c r="P196" t="n">
        <v>0</v>
      </c>
      <c r="Q196" t="n">
        <v>0</v>
      </c>
      <c r="R196" t="n">
        <v>0</v>
      </c>
      <c r="S196" t="n">
        <v>0</v>
      </c>
      <c r="T196" t="n">
        <v>0</v>
      </c>
      <c r="U196" s="2" t="inlineStr"/>
    </row>
    <row r="197" ht="15" customHeight="1">
      <c r="A197" t="inlineStr">
        <is>
          <t>A 40075-2022</t>
        </is>
      </c>
      <c r="B197" t="inlineStr">
        <is>
          <t>avverkningsanmälan</t>
        </is>
      </c>
      <c r="C197" t="inlineStr">
        <is>
          <t>Föryngringsavverkning</t>
        </is>
      </c>
      <c r="D197" s="1" t="n">
        <v>44819</v>
      </c>
      <c r="E197" s="1" t="n">
        <v>46220</v>
      </c>
      <c r="F197" t="inlineStr">
        <is>
          <t>SÖDERMANLANDS LÄN</t>
        </is>
      </c>
      <c r="G197" t="inlineStr">
        <is>
          <t>GNESTA</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16645-2022</t>
        </is>
      </c>
      <c r="B198" t="inlineStr">
        <is>
          <t>avverkningsanmälan</t>
        </is>
      </c>
      <c r="C198" t="inlineStr">
        <is>
          <t>Föryngringsavverkning</t>
        </is>
      </c>
      <c r="D198" s="1" t="n">
        <v>44672</v>
      </c>
      <c r="E198" s="1" t="n">
        <v>46220</v>
      </c>
      <c r="F198" t="inlineStr">
        <is>
          <t>SÖDERMANLANDS LÄN</t>
        </is>
      </c>
      <c r="G198" t="inlineStr">
        <is>
          <t>GNESTA</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62883-2023</t>
        </is>
      </c>
      <c r="B199" t="inlineStr">
        <is>
          <t>avverkningsanmälan</t>
        </is>
      </c>
      <c r="C199" t="inlineStr">
        <is>
          <t>Föryngringsavverkning</t>
        </is>
      </c>
      <c r="D199" s="1" t="n">
        <v>45272</v>
      </c>
      <c r="E199" s="1" t="n">
        <v>46220</v>
      </c>
      <c r="F199" t="inlineStr">
        <is>
          <t>SÖDERMANLANDS LÄN</t>
        </is>
      </c>
      <c r="G199" t="inlineStr">
        <is>
          <t>GNESTA</t>
        </is>
      </c>
      <c r="I199" t="n">
        <v>4.3</v>
      </c>
      <c r="J199" t="n">
        <v>0</v>
      </c>
      <c r="K199" t="n">
        <v>0</v>
      </c>
      <c r="L199" t="n">
        <v>0</v>
      </c>
      <c r="M199" t="n">
        <v>0</v>
      </c>
      <c r="N199" t="n">
        <v>0</v>
      </c>
      <c r="O199" t="n">
        <v>0</v>
      </c>
      <c r="P199" t="n">
        <v>0</v>
      </c>
      <c r="Q199" t="n">
        <v>0</v>
      </c>
      <c r="R199" t="n">
        <v>0</v>
      </c>
      <c r="S199" t="n">
        <v>0</v>
      </c>
      <c r="T199" t="n">
        <v>0</v>
      </c>
      <c r="U199" s="2" t="inlineStr"/>
    </row>
    <row r="200" ht="15" customHeight="1">
      <c r="A200" t="inlineStr">
        <is>
          <t>A 62889-2023</t>
        </is>
      </c>
      <c r="B200" t="inlineStr">
        <is>
          <t>avverkningsanmälan</t>
        </is>
      </c>
      <c r="C200" t="inlineStr">
        <is>
          <t>Föryngringsavverkning</t>
        </is>
      </c>
      <c r="D200" s="1" t="n">
        <v>45272</v>
      </c>
      <c r="E200" s="1" t="n">
        <v>46220</v>
      </c>
      <c r="F200" t="inlineStr">
        <is>
          <t>SÖDERMANLANDS LÄN</t>
        </is>
      </c>
      <c r="G200" t="inlineStr">
        <is>
          <t>GNESTA</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16689-2026</t>
        </is>
      </c>
      <c r="B201" t="inlineStr">
        <is>
          <t>avverkningsanmälan</t>
        </is>
      </c>
      <c r="C201" t="inlineStr">
        <is>
          <t>Föryngringsavverkning</t>
        </is>
      </c>
      <c r="D201" s="1" t="n">
        <v>46112</v>
      </c>
      <c r="E201" s="1" t="n">
        <v>46220</v>
      </c>
      <c r="F201" t="inlineStr">
        <is>
          <t>SÖDERMANLANDS LÄN</t>
        </is>
      </c>
      <c r="G201" t="inlineStr">
        <is>
          <t>GNESTA</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41600-2021</t>
        </is>
      </c>
      <c r="B202" t="inlineStr">
        <is>
          <t>avverkningsanmälan</t>
        </is>
      </c>
      <c r="C202" t="inlineStr">
        <is>
          <t>Föryngringsavverkning</t>
        </is>
      </c>
      <c r="D202" s="1" t="n">
        <v>44425</v>
      </c>
      <c r="E202" s="1" t="n">
        <v>46220</v>
      </c>
      <c r="F202" t="inlineStr">
        <is>
          <t>SÖDERMANLANDS LÄN</t>
        </is>
      </c>
      <c r="G202" t="inlineStr">
        <is>
          <t>GNESTA</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16688-2026</t>
        </is>
      </c>
      <c r="B203" t="inlineStr">
        <is>
          <t>avverkningsanmälan</t>
        </is>
      </c>
      <c r="C203" t="inlineStr">
        <is>
          <t>Föryngringsavverkning</t>
        </is>
      </c>
      <c r="D203" s="1" t="n">
        <v>46112</v>
      </c>
      <c r="E203" s="1" t="n">
        <v>46220</v>
      </c>
      <c r="F203" t="inlineStr">
        <is>
          <t>SÖDERMANLANDS LÄN</t>
        </is>
      </c>
      <c r="G203" t="inlineStr">
        <is>
          <t>GNESTA</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16690-2026</t>
        </is>
      </c>
      <c r="B204" t="inlineStr">
        <is>
          <t>avverkningsanmälan</t>
        </is>
      </c>
      <c r="C204" t="inlineStr">
        <is>
          <t>Föryngringsavverkning</t>
        </is>
      </c>
      <c r="D204" s="1" t="n">
        <v>46112</v>
      </c>
      <c r="E204" s="1" t="n">
        <v>46220</v>
      </c>
      <c r="F204" t="inlineStr">
        <is>
          <t>SÖDERMANLANDS LÄN</t>
        </is>
      </c>
      <c r="G204" t="inlineStr">
        <is>
          <t>GNESTA</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25976-2024</t>
        </is>
      </c>
      <c r="B205" t="inlineStr">
        <is>
          <t>avverkningsanmälan</t>
        </is>
      </c>
      <c r="C205" t="inlineStr">
        <is>
          <t>Avverkning för att bevara och utveckla /försöksver</t>
        </is>
      </c>
      <c r="D205" s="1" t="n">
        <v>45467</v>
      </c>
      <c r="E205" s="1" t="n">
        <v>46220</v>
      </c>
      <c r="F205" t="inlineStr">
        <is>
          <t>SÖDERMANLANDS LÄN</t>
        </is>
      </c>
      <c r="G205" t="inlineStr">
        <is>
          <t>GNESTA</t>
        </is>
      </c>
      <c r="I205" t="n">
        <v>5.6</v>
      </c>
      <c r="J205" t="n">
        <v>0</v>
      </c>
      <c r="K205" t="n">
        <v>0</v>
      </c>
      <c r="L205" t="n">
        <v>0</v>
      </c>
      <c r="M205" t="n">
        <v>0</v>
      </c>
      <c r="N205" t="n">
        <v>0</v>
      </c>
      <c r="O205" t="n">
        <v>0</v>
      </c>
      <c r="P205" t="n">
        <v>0</v>
      </c>
      <c r="Q205" t="n">
        <v>0</v>
      </c>
      <c r="R205" t="n">
        <v>0</v>
      </c>
      <c r="S205" t="n">
        <v>0</v>
      </c>
      <c r="T205" t="n">
        <v>0</v>
      </c>
      <c r="U205" s="2" t="inlineStr"/>
    </row>
    <row r="206" ht="15" customHeight="1">
      <c r="A206" t="inlineStr">
        <is>
          <t>A 20986-2023</t>
        </is>
      </c>
      <c r="B206" t="inlineStr">
        <is>
          <t>avverkningsanmälan</t>
        </is>
      </c>
      <c r="C206" t="inlineStr">
        <is>
          <t>Föryngringsavverkning</t>
        </is>
      </c>
      <c r="D206" s="1" t="n">
        <v>45061</v>
      </c>
      <c r="E206" s="1" t="n">
        <v>46220</v>
      </c>
      <c r="F206" t="inlineStr">
        <is>
          <t>SÖDERMANLANDS LÄN</t>
        </is>
      </c>
      <c r="G206" t="inlineStr">
        <is>
          <t>GNESTA</t>
        </is>
      </c>
      <c r="H206" t="inlineStr">
        <is>
          <t>Övriga Aktiebolag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17339-2026</t>
        </is>
      </c>
      <c r="B207" t="inlineStr">
        <is>
          <t>avverkningsanmälan</t>
        </is>
      </c>
      <c r="C207" t="inlineStr">
        <is>
          <t>Avverkning för annat ändamål</t>
        </is>
      </c>
      <c r="D207" s="1" t="n">
        <v>46119</v>
      </c>
      <c r="E207" s="1" t="n">
        <v>46220</v>
      </c>
      <c r="F207" t="inlineStr">
        <is>
          <t>SÖDERMANLANDS LÄN</t>
        </is>
      </c>
      <c r="G207" t="inlineStr">
        <is>
          <t>GNESTA</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7777-2023</t>
        </is>
      </c>
      <c r="B208" t="inlineStr">
        <is>
          <t>avverkningsanmälan</t>
        </is>
      </c>
      <c r="C208" t="inlineStr">
        <is>
          <t>Föryngringsavverkning</t>
        </is>
      </c>
      <c r="D208" s="1" t="n">
        <v>44973</v>
      </c>
      <c r="E208" s="1" t="n">
        <v>46220</v>
      </c>
      <c r="F208" t="inlineStr">
        <is>
          <t>SÖDERMANLANDS LÄN</t>
        </is>
      </c>
      <c r="G208" t="inlineStr">
        <is>
          <t>GNESTA</t>
        </is>
      </c>
      <c r="I208" t="n">
        <v>5.4</v>
      </c>
      <c r="J208" t="n">
        <v>0</v>
      </c>
      <c r="K208" t="n">
        <v>0</v>
      </c>
      <c r="L208" t="n">
        <v>0</v>
      </c>
      <c r="M208" t="n">
        <v>0</v>
      </c>
      <c r="N208" t="n">
        <v>0</v>
      </c>
      <c r="O208" t="n">
        <v>0</v>
      </c>
      <c r="P208" t="n">
        <v>0</v>
      </c>
      <c r="Q208" t="n">
        <v>0</v>
      </c>
      <c r="R208" t="n">
        <v>0</v>
      </c>
      <c r="S208" t="n">
        <v>0</v>
      </c>
      <c r="T208" t="n">
        <v>0</v>
      </c>
      <c r="U208" s="2" t="inlineStr"/>
    </row>
    <row r="209" ht="15" customHeight="1">
      <c r="A209" t="inlineStr">
        <is>
          <t>A 17853-2026</t>
        </is>
      </c>
      <c r="B209" t="inlineStr">
        <is>
          <t>avverkningsanmälan</t>
        </is>
      </c>
      <c r="C209" t="inlineStr">
        <is>
          <t>Föryngringsavverkning</t>
        </is>
      </c>
      <c r="D209" s="1" t="n">
        <v>46122</v>
      </c>
      <c r="E209" s="1" t="n">
        <v>46220</v>
      </c>
      <c r="F209" t="inlineStr">
        <is>
          <t>SÖDERMANLANDS LÄN</t>
        </is>
      </c>
      <c r="G209" t="inlineStr">
        <is>
          <t>GNESTA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9884-2025</t>
        </is>
      </c>
      <c r="B210" t="inlineStr">
        <is>
          <t>avverkningsanmälan</t>
        </is>
      </c>
      <c r="C210" t="inlineStr">
        <is>
          <t>Föryngringsavverkning</t>
        </is>
      </c>
      <c r="D210" s="1" t="n">
        <v>45716</v>
      </c>
      <c r="E210" s="1" t="n">
        <v>46220</v>
      </c>
      <c r="F210" t="inlineStr">
        <is>
          <t>SÖDERMANLANDS LÄN</t>
        </is>
      </c>
      <c r="G210" t="inlineStr">
        <is>
          <t>GNESTA</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57601-2021</t>
        </is>
      </c>
      <c r="B211" t="inlineStr">
        <is>
          <t>avverkningsanmälan</t>
        </is>
      </c>
      <c r="C211" t="inlineStr">
        <is>
          <t>Föryngringsavverkning</t>
        </is>
      </c>
      <c r="D211" s="1" t="n">
        <v>44484</v>
      </c>
      <c r="E211" s="1" t="n">
        <v>46220</v>
      </c>
      <c r="F211" t="inlineStr">
        <is>
          <t>SÖDERMANLANDS LÄN</t>
        </is>
      </c>
      <c r="G211" t="inlineStr">
        <is>
          <t>GNESTA</t>
        </is>
      </c>
      <c r="H211" t="inlineStr">
        <is>
          <t>Holmen skog AB</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33833-2024</t>
        </is>
      </c>
      <c r="B212" t="inlineStr">
        <is>
          <t>avverkningsanmälan</t>
        </is>
      </c>
      <c r="C212" t="inlineStr">
        <is>
          <t>Föryngringsavverkning</t>
        </is>
      </c>
      <c r="D212" s="1" t="n">
        <v>45520</v>
      </c>
      <c r="E212" s="1" t="n">
        <v>46220</v>
      </c>
      <c r="F212" t="inlineStr">
        <is>
          <t>SÖDERMANLANDS LÄN</t>
        </is>
      </c>
      <c r="G212" t="inlineStr">
        <is>
          <t>GNESTA</t>
        </is>
      </c>
      <c r="H212" t="inlineStr">
        <is>
          <t>Holmen skog AB</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62247-2022</t>
        </is>
      </c>
      <c r="B213" t="inlineStr">
        <is>
          <t>avverkningsanmälan</t>
        </is>
      </c>
      <c r="C213" t="inlineStr">
        <is>
          <t>Föryngringsavverkning</t>
        </is>
      </c>
      <c r="D213" s="1" t="n">
        <v>44922</v>
      </c>
      <c r="E213" s="1" t="n">
        <v>46220</v>
      </c>
      <c r="F213" t="inlineStr">
        <is>
          <t>SÖDERMANLANDS LÄN</t>
        </is>
      </c>
      <c r="G213" t="inlineStr">
        <is>
          <t>GNESTA</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5233-2025</t>
        </is>
      </c>
      <c r="B214" t="inlineStr">
        <is>
          <t>avverkningsanmälan</t>
        </is>
      </c>
      <c r="C214" t="inlineStr">
        <is>
          <t>Föryngringsavverkning</t>
        </is>
      </c>
      <c r="D214" s="1" t="n">
        <v>45691</v>
      </c>
      <c r="E214" s="1" t="n">
        <v>46220</v>
      </c>
      <c r="F214" t="inlineStr">
        <is>
          <t>SÖDERMANLANDS LÄN</t>
        </is>
      </c>
      <c r="G214" t="inlineStr">
        <is>
          <t>GNESTA</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7292-2023</t>
        </is>
      </c>
      <c r="B215" t="inlineStr">
        <is>
          <t>avverkningsanmälan</t>
        </is>
      </c>
      <c r="C215" t="inlineStr">
        <is>
          <t>Föryngringsavverkning</t>
        </is>
      </c>
      <c r="D215" s="1" t="n">
        <v>44970</v>
      </c>
      <c r="E215" s="1" t="n">
        <v>46220</v>
      </c>
      <c r="F215" t="inlineStr">
        <is>
          <t>SÖDERMANLANDS LÄN</t>
        </is>
      </c>
      <c r="G215" t="inlineStr">
        <is>
          <t>GNESTA</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19889-2026</t>
        </is>
      </c>
      <c r="B216" t="inlineStr">
        <is>
          <t>avverkningsanmälan</t>
        </is>
      </c>
      <c r="C216" t="inlineStr">
        <is>
          <t>Föryngringsavverkning</t>
        </is>
      </c>
      <c r="D216" s="1" t="n">
        <v>46135</v>
      </c>
      <c r="E216" s="1" t="n">
        <v>46220</v>
      </c>
      <c r="F216" t="inlineStr">
        <is>
          <t>SÖDERMANLANDS LÄN</t>
        </is>
      </c>
      <c r="G216" t="inlineStr">
        <is>
          <t>GNESTA</t>
        </is>
      </c>
      <c r="I216" t="n">
        <v>3.2</v>
      </c>
      <c r="J216" t="n">
        <v>0</v>
      </c>
      <c r="K216" t="n">
        <v>0</v>
      </c>
      <c r="L216" t="n">
        <v>0</v>
      </c>
      <c r="M216" t="n">
        <v>0</v>
      </c>
      <c r="N216" t="n">
        <v>0</v>
      </c>
      <c r="O216" t="n">
        <v>0</v>
      </c>
      <c r="P216" t="n">
        <v>0</v>
      </c>
      <c r="Q216" t="n">
        <v>0</v>
      </c>
      <c r="R216" t="n">
        <v>0</v>
      </c>
      <c r="S216" t="n">
        <v>0</v>
      </c>
      <c r="T216" t="n">
        <v>0</v>
      </c>
      <c r="U216" s="2" t="inlineStr"/>
    </row>
    <row r="217" ht="15" customHeight="1">
      <c r="A217" t="inlineStr">
        <is>
          <t>A 19364-2024</t>
        </is>
      </c>
      <c r="B217" t="inlineStr">
        <is>
          <t>avverkningsanmälan</t>
        </is>
      </c>
      <c r="C217" t="inlineStr">
        <is>
          <t>Föryngringsavverkning</t>
        </is>
      </c>
      <c r="D217" s="1" t="n">
        <v>45429</v>
      </c>
      <c r="E217" s="1" t="n">
        <v>46220</v>
      </c>
      <c r="F217" t="inlineStr">
        <is>
          <t>SÖDERMANLANDS LÄN</t>
        </is>
      </c>
      <c r="G217" t="inlineStr">
        <is>
          <t>GNESTA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26084-2026</t>
        </is>
      </c>
      <c r="B218" t="inlineStr">
        <is>
          <t>avverkningsanmälan</t>
        </is>
      </c>
      <c r="C218" t="inlineStr">
        <is>
          <t>Föryngringsavverkning</t>
        </is>
      </c>
      <c r="D218" s="1" t="n">
        <v>46181</v>
      </c>
      <c r="E218" s="1" t="n">
        <v>46220</v>
      </c>
      <c r="F218" t="inlineStr">
        <is>
          <t>SÖDERMANLANDS LÄN</t>
        </is>
      </c>
      <c r="G218" t="inlineStr">
        <is>
          <t>GNESTA</t>
        </is>
      </c>
      <c r="I218" t="n">
        <v>2.5</v>
      </c>
      <c r="J218" t="n">
        <v>0</v>
      </c>
      <c r="K218" t="n">
        <v>0</v>
      </c>
      <c r="L218" t="n">
        <v>0</v>
      </c>
      <c r="M218" t="n">
        <v>0</v>
      </c>
      <c r="N218" t="n">
        <v>0</v>
      </c>
      <c r="O218" t="n">
        <v>0</v>
      </c>
      <c r="P218" t="n">
        <v>0</v>
      </c>
      <c r="Q218" t="n">
        <v>0</v>
      </c>
      <c r="R218" t="n">
        <v>0</v>
      </c>
      <c r="S218" t="n">
        <v>0</v>
      </c>
      <c r="T218" t="n">
        <v>0</v>
      </c>
      <c r="U218" s="2" t="inlineStr"/>
    </row>
    <row r="219" ht="15" customHeight="1">
      <c r="A219" t="inlineStr">
        <is>
          <t>A 10662-2024</t>
        </is>
      </c>
      <c r="B219" t="inlineStr">
        <is>
          <t>avverkningsanmälan</t>
        </is>
      </c>
      <c r="C219" t="inlineStr">
        <is>
          <t>Föryngringsavverkning</t>
        </is>
      </c>
      <c r="D219" s="1" t="n">
        <v>45369</v>
      </c>
      <c r="E219" s="1" t="n">
        <v>46220</v>
      </c>
      <c r="F219" t="inlineStr">
        <is>
          <t>SÖDERMANLANDS LÄN</t>
        </is>
      </c>
      <c r="G219" t="inlineStr">
        <is>
          <t>GNESTA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62912-2023</t>
        </is>
      </c>
      <c r="B220" t="inlineStr">
        <is>
          <t>avverkningsanmälan</t>
        </is>
      </c>
      <c r="C220" t="inlineStr">
        <is>
          <t>Föryngringsavverkning</t>
        </is>
      </c>
      <c r="D220" s="1" t="n">
        <v>45272</v>
      </c>
      <c r="E220" s="1" t="n">
        <v>46220</v>
      </c>
      <c r="F220" t="inlineStr">
        <is>
          <t>SÖDERMANLANDS LÄN</t>
        </is>
      </c>
      <c r="G220" t="inlineStr">
        <is>
          <t>GNESTA</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5-2023</t>
        </is>
      </c>
      <c r="B221" t="inlineStr">
        <is>
          <t>avverkningsanmälan</t>
        </is>
      </c>
      <c r="C221" t="inlineStr">
        <is>
          <t>Föryngringsavverkning</t>
        </is>
      </c>
      <c r="D221" s="1" t="n">
        <v>44927</v>
      </c>
      <c r="E221" s="1" t="n">
        <v>46220</v>
      </c>
      <c r="F221" t="inlineStr">
        <is>
          <t>SÖDERMANLANDS LÄN</t>
        </is>
      </c>
      <c r="G221" t="inlineStr">
        <is>
          <t>GNESTA</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42973-2025</t>
        </is>
      </c>
      <c r="B222" t="inlineStr">
        <is>
          <t>avverkningsanmälan</t>
        </is>
      </c>
      <c r="C222" t="inlineStr">
        <is>
          <t>Föryngringsavverkning</t>
        </is>
      </c>
      <c r="D222" s="1" t="n">
        <v>45909</v>
      </c>
      <c r="E222" s="1" t="n">
        <v>46220</v>
      </c>
      <c r="F222" t="inlineStr">
        <is>
          <t>SÖDERMANLANDS LÄN</t>
        </is>
      </c>
      <c r="G222" t="inlineStr">
        <is>
          <t>GNESTA</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22667-2023</t>
        </is>
      </c>
      <c r="B223" t="inlineStr">
        <is>
          <t>avverkningsanmälan</t>
        </is>
      </c>
      <c r="C223" t="inlineStr">
        <is>
          <t>Föryngringsavverkning</t>
        </is>
      </c>
      <c r="D223" s="1" t="n">
        <v>45071</v>
      </c>
      <c r="E223" s="1" t="n">
        <v>46220</v>
      </c>
      <c r="F223" t="inlineStr">
        <is>
          <t>SÖDERMANLANDS LÄN</t>
        </is>
      </c>
      <c r="G223" t="inlineStr">
        <is>
          <t>GNESTA</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65000-2023</t>
        </is>
      </c>
      <c r="B224" t="inlineStr">
        <is>
          <t>avverkningsanmälan</t>
        </is>
      </c>
      <c r="C224" t="inlineStr">
        <is>
          <t>Föryngringsavverkning</t>
        </is>
      </c>
      <c r="D224" s="1" t="n">
        <v>45286</v>
      </c>
      <c r="E224" s="1" t="n">
        <v>46220</v>
      </c>
      <c r="F224" t="inlineStr">
        <is>
          <t>SÖDERMANLANDS LÄN</t>
        </is>
      </c>
      <c r="G224" t="inlineStr">
        <is>
          <t>GNESTA</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26098-2026</t>
        </is>
      </c>
      <c r="B225" t="inlineStr">
        <is>
          <t>avverkningsanmälan</t>
        </is>
      </c>
      <c r="C225" t="inlineStr">
        <is>
          <t>Föryngringsavverkning</t>
        </is>
      </c>
      <c r="D225" s="1" t="n">
        <v>46181</v>
      </c>
      <c r="E225" s="1" t="n">
        <v>46220</v>
      </c>
      <c r="F225" t="inlineStr">
        <is>
          <t>SÖDERMANLANDS LÄN</t>
        </is>
      </c>
      <c r="G225" t="inlineStr">
        <is>
          <t>GNESTA</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48738-2021</t>
        </is>
      </c>
      <c r="B226" t="inlineStr">
        <is>
          <t>avverkningsanmälan</t>
        </is>
      </c>
      <c r="C226" t="inlineStr">
        <is>
          <t>Föryngringsavverkning</t>
        </is>
      </c>
      <c r="D226" s="1" t="n">
        <v>44452</v>
      </c>
      <c r="E226" s="1" t="n">
        <v>46220</v>
      </c>
      <c r="F226" t="inlineStr">
        <is>
          <t>SÖDERMANLANDS LÄN</t>
        </is>
      </c>
      <c r="G226" t="inlineStr">
        <is>
          <t>GNESTA</t>
        </is>
      </c>
      <c r="H226" t="inlineStr">
        <is>
          <t>Kyrkan</t>
        </is>
      </c>
      <c r="I226" t="n">
        <v>11.3</v>
      </c>
      <c r="J226" t="n">
        <v>0</v>
      </c>
      <c r="K226" t="n">
        <v>0</v>
      </c>
      <c r="L226" t="n">
        <v>0</v>
      </c>
      <c r="M226" t="n">
        <v>0</v>
      </c>
      <c r="N226" t="n">
        <v>0</v>
      </c>
      <c r="O226" t="n">
        <v>0</v>
      </c>
      <c r="P226" t="n">
        <v>0</v>
      </c>
      <c r="Q226" t="n">
        <v>0</v>
      </c>
      <c r="R226" t="n">
        <v>0</v>
      </c>
      <c r="S226" t="n">
        <v>0</v>
      </c>
      <c r="T226" t="n">
        <v>0</v>
      </c>
      <c r="U226" s="2" t="inlineStr"/>
    </row>
    <row r="227" ht="15" customHeight="1">
      <c r="A227" t="inlineStr">
        <is>
          <t>A 61032-2024</t>
        </is>
      </c>
      <c r="B227" t="inlineStr">
        <is>
          <t>avverkningsanmälan</t>
        </is>
      </c>
      <c r="C227" t="inlineStr">
        <is>
          <t>Avverkning för annat ändamål</t>
        </is>
      </c>
      <c r="D227" s="1" t="n">
        <v>45644</v>
      </c>
      <c r="E227" s="1" t="n">
        <v>46220</v>
      </c>
      <c r="F227" t="inlineStr">
        <is>
          <t>SÖDERMANLANDS LÄN</t>
        </is>
      </c>
      <c r="G227" t="inlineStr">
        <is>
          <t>GNESTA</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36308-2023</t>
        </is>
      </c>
      <c r="B228" t="inlineStr">
        <is>
          <t>avverkningsanmälan</t>
        </is>
      </c>
      <c r="C228" t="inlineStr">
        <is>
          <t>Föryngringsavverkning</t>
        </is>
      </c>
      <c r="D228" s="1" t="n">
        <v>45152</v>
      </c>
      <c r="E228" s="1" t="n">
        <v>46220</v>
      </c>
      <c r="F228" t="inlineStr">
        <is>
          <t>SÖDERMANLANDS LÄN</t>
        </is>
      </c>
      <c r="G228" t="inlineStr">
        <is>
          <t>GNESTA</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51375-2022</t>
        </is>
      </c>
      <c r="B229" t="inlineStr">
        <is>
          <t>avverkningsanmälan</t>
        </is>
      </c>
      <c r="C229" t="inlineStr">
        <is>
          <t>Föryngringsavverkning</t>
        </is>
      </c>
      <c r="D229" s="1" t="n">
        <v>44869</v>
      </c>
      <c r="E229" s="1" t="n">
        <v>46220</v>
      </c>
      <c r="F229" t="inlineStr">
        <is>
          <t>SÖDERMANLANDS LÄN</t>
        </is>
      </c>
      <c r="G229" t="inlineStr">
        <is>
          <t>GNESTA</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62967-2023</t>
        </is>
      </c>
      <c r="B230" t="inlineStr">
        <is>
          <t>avverkningsanmälan</t>
        </is>
      </c>
      <c r="C230" t="inlineStr">
        <is>
          <t>Föryngringsavverkning</t>
        </is>
      </c>
      <c r="D230" s="1" t="n">
        <v>45272</v>
      </c>
      <c r="E230" s="1" t="n">
        <v>46220</v>
      </c>
      <c r="F230" t="inlineStr">
        <is>
          <t>SÖDERMANLANDS LÄN</t>
        </is>
      </c>
      <c r="G230" t="inlineStr">
        <is>
          <t>GNESTA</t>
        </is>
      </c>
      <c r="I230" t="n">
        <v>7.4</v>
      </c>
      <c r="J230" t="n">
        <v>0</v>
      </c>
      <c r="K230" t="n">
        <v>0</v>
      </c>
      <c r="L230" t="n">
        <v>0</v>
      </c>
      <c r="M230" t="n">
        <v>0</v>
      </c>
      <c r="N230" t="n">
        <v>0</v>
      </c>
      <c r="O230" t="n">
        <v>0</v>
      </c>
      <c r="P230" t="n">
        <v>0</v>
      </c>
      <c r="Q230" t="n">
        <v>0</v>
      </c>
      <c r="R230" t="n">
        <v>0</v>
      </c>
      <c r="S230" t="n">
        <v>0</v>
      </c>
      <c r="T230" t="n">
        <v>0</v>
      </c>
      <c r="U230" s="2" t="inlineStr"/>
    </row>
    <row r="231" ht="15" customHeight="1">
      <c r="A231" t="inlineStr">
        <is>
          <t>A 38161-2025</t>
        </is>
      </c>
      <c r="B231" t="inlineStr">
        <is>
          <t>avverkningsanmälan</t>
        </is>
      </c>
      <c r="C231" t="inlineStr">
        <is>
          <t>Föryngringsavverkning</t>
        </is>
      </c>
      <c r="D231" s="1" t="n">
        <v>45882</v>
      </c>
      <c r="E231" s="1" t="n">
        <v>46220</v>
      </c>
      <c r="F231" t="inlineStr">
        <is>
          <t>SÖDERMANLANDS LÄN</t>
        </is>
      </c>
      <c r="G231" t="inlineStr">
        <is>
          <t>GNESTA</t>
        </is>
      </c>
      <c r="I231" t="n">
        <v>2.8</v>
      </c>
      <c r="J231" t="n">
        <v>0</v>
      </c>
      <c r="K231" t="n">
        <v>0</v>
      </c>
      <c r="L231" t="n">
        <v>0</v>
      </c>
      <c r="M231" t="n">
        <v>0</v>
      </c>
      <c r="N231" t="n">
        <v>0</v>
      </c>
      <c r="O231" t="n">
        <v>0</v>
      </c>
      <c r="P231" t="n">
        <v>0</v>
      </c>
      <c r="Q231" t="n">
        <v>0</v>
      </c>
      <c r="R231" t="n">
        <v>0</v>
      </c>
      <c r="S231" t="n">
        <v>0</v>
      </c>
      <c r="T231" t="n">
        <v>0</v>
      </c>
      <c r="U231" s="2" t="inlineStr"/>
    </row>
    <row r="232" ht="15" customHeight="1">
      <c r="A232" t="inlineStr">
        <is>
          <t>A 63-2024</t>
        </is>
      </c>
      <c r="B232" t="inlineStr">
        <is>
          <t>avverkningsanmälan</t>
        </is>
      </c>
      <c r="C232" t="inlineStr">
        <is>
          <t>Föryngringsavverkning</t>
        </is>
      </c>
      <c r="D232" s="1" t="n">
        <v>45293</v>
      </c>
      <c r="E232" s="1" t="n">
        <v>46220</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2225-2025</t>
        </is>
      </c>
      <c r="B233" t="inlineStr">
        <is>
          <t>avverkningsanmälan</t>
        </is>
      </c>
      <c r="C233" t="inlineStr">
        <is>
          <t>Föryngringsavverkning</t>
        </is>
      </c>
      <c r="D233" s="1" t="n">
        <v>45673</v>
      </c>
      <c r="E233" s="1" t="n">
        <v>46220</v>
      </c>
      <c r="F233" t="inlineStr">
        <is>
          <t>SÖDERMANLANDS LÄN</t>
        </is>
      </c>
      <c r="G233" t="inlineStr">
        <is>
          <t>GNESTA</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47314-2021</t>
        </is>
      </c>
      <c r="B234" t="inlineStr">
        <is>
          <t>avverkningsanmälan</t>
        </is>
      </c>
      <c r="C234" t="inlineStr">
        <is>
          <t>Föryngringsavverkning</t>
        </is>
      </c>
      <c r="D234" s="1" t="n">
        <v>44447</v>
      </c>
      <c r="E234" s="1" t="n">
        <v>46220</v>
      </c>
      <c r="F234" t="inlineStr">
        <is>
          <t>SÖDERMANLANDS LÄN</t>
        </is>
      </c>
      <c r="G234" t="inlineStr">
        <is>
          <t>GNESTA</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25525-2024</t>
        </is>
      </c>
      <c r="B235" t="inlineStr">
        <is>
          <t>avverkningsanmälan</t>
        </is>
      </c>
      <c r="C235" t="inlineStr">
        <is>
          <t>Avverkning för annat ändamål</t>
        </is>
      </c>
      <c r="D235" s="1" t="n">
        <v>45463</v>
      </c>
      <c r="E235" s="1" t="n">
        <v>46220</v>
      </c>
      <c r="F235" t="inlineStr">
        <is>
          <t>SÖDERMANLANDS LÄN</t>
        </is>
      </c>
      <c r="G235" t="inlineStr">
        <is>
          <t>GNESTA</t>
        </is>
      </c>
      <c r="I235" t="n">
        <v>4.8</v>
      </c>
      <c r="J235" t="n">
        <v>0</v>
      </c>
      <c r="K235" t="n">
        <v>0</v>
      </c>
      <c r="L235" t="n">
        <v>0</v>
      </c>
      <c r="M235" t="n">
        <v>0</v>
      </c>
      <c r="N235" t="n">
        <v>0</v>
      </c>
      <c r="O235" t="n">
        <v>0</v>
      </c>
      <c r="P235" t="n">
        <v>0</v>
      </c>
      <c r="Q235" t="n">
        <v>0</v>
      </c>
      <c r="R235" t="n">
        <v>0</v>
      </c>
      <c r="S235" t="n">
        <v>0</v>
      </c>
      <c r="T235" t="n">
        <v>0</v>
      </c>
      <c r="U235" s="2" t="inlineStr"/>
    </row>
    <row r="236" ht="15" customHeight="1">
      <c r="A236" t="inlineStr">
        <is>
          <t>A 34615-2023</t>
        </is>
      </c>
      <c r="B236" t="inlineStr">
        <is>
          <t>avverkningsanmälan</t>
        </is>
      </c>
      <c r="C236" t="inlineStr">
        <is>
          <t>Föryngringsavverkning</t>
        </is>
      </c>
      <c r="D236" s="1" t="n">
        <v>45140</v>
      </c>
      <c r="E236" s="1" t="n">
        <v>46220</v>
      </c>
      <c r="F236" t="inlineStr">
        <is>
          <t>SÖDERMANLANDS LÄN</t>
        </is>
      </c>
      <c r="G236" t="inlineStr">
        <is>
          <t>GNESTA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33758-2022</t>
        </is>
      </c>
      <c r="B237" t="inlineStr">
        <is>
          <t>avverkningsanmälan</t>
        </is>
      </c>
      <c r="C237" t="inlineStr">
        <is>
          <t>Föryngringsavverkning</t>
        </is>
      </c>
      <c r="D237" s="1" t="n">
        <v>44790</v>
      </c>
      <c r="E237" s="1" t="n">
        <v>46220</v>
      </c>
      <c r="F237" t="inlineStr">
        <is>
          <t>SÖDERMANLANDS LÄN</t>
        </is>
      </c>
      <c r="G237" t="inlineStr">
        <is>
          <t>GNESTA</t>
        </is>
      </c>
      <c r="I237" t="n">
        <v>2.3</v>
      </c>
      <c r="J237" t="n">
        <v>0</v>
      </c>
      <c r="K237" t="n">
        <v>0</v>
      </c>
      <c r="L237" t="n">
        <v>0</v>
      </c>
      <c r="M237" t="n">
        <v>0</v>
      </c>
      <c r="N237" t="n">
        <v>0</v>
      </c>
      <c r="O237" t="n">
        <v>0</v>
      </c>
      <c r="P237" t="n">
        <v>0</v>
      </c>
      <c r="Q237" t="n">
        <v>0</v>
      </c>
      <c r="R237" t="n">
        <v>0</v>
      </c>
      <c r="S237" t="n">
        <v>0</v>
      </c>
      <c r="T237" t="n">
        <v>0</v>
      </c>
      <c r="U237" s="2" t="inlineStr"/>
    </row>
    <row r="238" ht="15" customHeight="1">
      <c r="A238" t="inlineStr">
        <is>
          <t>A 49909-2023</t>
        </is>
      </c>
      <c r="B238" t="inlineStr">
        <is>
          <t>avverkningsanmälan</t>
        </is>
      </c>
      <c r="C238" t="inlineStr">
        <is>
          <t>Föryngringsavverkning</t>
        </is>
      </c>
      <c r="D238" s="1" t="n">
        <v>45214</v>
      </c>
      <c r="E238" s="1" t="n">
        <v>46220</v>
      </c>
      <c r="F238" t="inlineStr">
        <is>
          <t>SÖDERMANLANDS LÄN</t>
        </is>
      </c>
      <c r="G238" t="inlineStr">
        <is>
          <t>GNESTA</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8995-2024</t>
        </is>
      </c>
      <c r="B239" t="inlineStr">
        <is>
          <t>avverkningsanmälan</t>
        </is>
      </c>
      <c r="C239" t="inlineStr">
        <is>
          <t>Föryngringsavverkning</t>
        </is>
      </c>
      <c r="D239" s="1" t="n">
        <v>45357</v>
      </c>
      <c r="E239" s="1" t="n">
        <v>46220</v>
      </c>
      <c r="F239" t="inlineStr">
        <is>
          <t>SÖDERMANLANDS LÄN</t>
        </is>
      </c>
      <c r="G239" t="inlineStr">
        <is>
          <t>GNESTA</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13346-2023</t>
        </is>
      </c>
      <c r="B240" t="inlineStr">
        <is>
          <t>avverkningsanmälan</t>
        </is>
      </c>
      <c r="C240" t="inlineStr">
        <is>
          <t>Föryngringsavverkning</t>
        </is>
      </c>
      <c r="D240" s="1" t="n">
        <v>45005</v>
      </c>
      <c r="E240" s="1" t="n">
        <v>46220</v>
      </c>
      <c r="F240" t="inlineStr">
        <is>
          <t>SÖDERMANLANDS LÄN</t>
        </is>
      </c>
      <c r="G240" t="inlineStr">
        <is>
          <t>GNESTA</t>
        </is>
      </c>
      <c r="I240" t="n">
        <v>2.8</v>
      </c>
      <c r="J240" t="n">
        <v>0</v>
      </c>
      <c r="K240" t="n">
        <v>0</v>
      </c>
      <c r="L240" t="n">
        <v>0</v>
      </c>
      <c r="M240" t="n">
        <v>0</v>
      </c>
      <c r="N240" t="n">
        <v>0</v>
      </c>
      <c r="O240" t="n">
        <v>0</v>
      </c>
      <c r="P240" t="n">
        <v>0</v>
      </c>
      <c r="Q240" t="n">
        <v>0</v>
      </c>
      <c r="R240" t="n">
        <v>0</v>
      </c>
      <c r="S240" t="n">
        <v>0</v>
      </c>
      <c r="T240" t="n">
        <v>0</v>
      </c>
      <c r="U240" s="2" t="inlineStr"/>
    </row>
    <row r="241" ht="15" customHeight="1">
      <c r="A241" t="inlineStr">
        <is>
          <t>A 3227-2023</t>
        </is>
      </c>
      <c r="B241" t="inlineStr">
        <is>
          <t>avverkningsanmälan</t>
        </is>
      </c>
      <c r="C241" t="inlineStr">
        <is>
          <t>Föryngringsavverkning</t>
        </is>
      </c>
      <c r="D241" s="1" t="n">
        <v>44946</v>
      </c>
      <c r="E241" s="1" t="n">
        <v>46220</v>
      </c>
      <c r="F241" t="inlineStr">
        <is>
          <t>SÖDERMANLANDS LÄN</t>
        </is>
      </c>
      <c r="G241" t="inlineStr">
        <is>
          <t>GNESTA</t>
        </is>
      </c>
      <c r="H241" t="inlineStr">
        <is>
          <t>Kommuner</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7653-2023</t>
        </is>
      </c>
      <c r="B242" t="inlineStr">
        <is>
          <t>avverkningsanmälan</t>
        </is>
      </c>
      <c r="C242" t="inlineStr">
        <is>
          <t>Föryngringsavverkning</t>
        </is>
      </c>
      <c r="D242" s="1" t="n">
        <v>44972</v>
      </c>
      <c r="E242" s="1" t="n">
        <v>46220</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44627-2023</t>
        </is>
      </c>
      <c r="B243" t="inlineStr">
        <is>
          <t>avverkningsanmälan</t>
        </is>
      </c>
      <c r="C243" t="inlineStr">
        <is>
          <t>Föryngringsavverkning</t>
        </is>
      </c>
      <c r="D243" s="1" t="n">
        <v>45189</v>
      </c>
      <c r="E243" s="1" t="n">
        <v>46220</v>
      </c>
      <c r="F243" t="inlineStr">
        <is>
          <t>SÖDERMANLANDS LÄN</t>
        </is>
      </c>
      <c r="G243" t="inlineStr">
        <is>
          <t>GNESTA</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7214-2023</t>
        </is>
      </c>
      <c r="B244" t="inlineStr">
        <is>
          <t>avverkningsanmälan</t>
        </is>
      </c>
      <c r="C244" t="inlineStr">
        <is>
          <t>Föryngringsavverkning</t>
        </is>
      </c>
      <c r="D244" s="1" t="n">
        <v>44970</v>
      </c>
      <c r="E244" s="1" t="n">
        <v>46220</v>
      </c>
      <c r="F244" t="inlineStr">
        <is>
          <t>SÖDERMANLANDS LÄN</t>
        </is>
      </c>
      <c r="G244" t="inlineStr">
        <is>
          <t>GNESTA</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56732-2023</t>
        </is>
      </c>
      <c r="B245" t="inlineStr">
        <is>
          <t>avverkningsanmälan</t>
        </is>
      </c>
      <c r="C245" t="inlineStr">
        <is>
          <t>Föryngringsavverkning</t>
        </is>
      </c>
      <c r="D245" s="1" t="n">
        <v>45238</v>
      </c>
      <c r="E245" s="1" t="n">
        <v>46220</v>
      </c>
      <c r="F245" t="inlineStr">
        <is>
          <t>SÖDERMANLANDS LÄN</t>
        </is>
      </c>
      <c r="G245" t="inlineStr">
        <is>
          <t>GNESTA</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42520-2022</t>
        </is>
      </c>
      <c r="B246" t="inlineStr">
        <is>
          <t>avverkningsanmälan</t>
        </is>
      </c>
      <c r="C246" t="inlineStr">
        <is>
          <t>Föryngringsavverkning</t>
        </is>
      </c>
      <c r="D246" s="1" t="n">
        <v>44831</v>
      </c>
      <c r="E246" s="1" t="n">
        <v>46220</v>
      </c>
      <c r="F246" t="inlineStr">
        <is>
          <t>SÖDERMANLANDS LÄN</t>
        </is>
      </c>
      <c r="G246" t="inlineStr">
        <is>
          <t>GNESTA</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44331-2024</t>
        </is>
      </c>
      <c r="B247" t="inlineStr">
        <is>
          <t>avverkningsanmälan</t>
        </is>
      </c>
      <c r="C247" t="inlineStr">
        <is>
          <t>Föryngringsavverkning</t>
        </is>
      </c>
      <c r="D247" s="1" t="n">
        <v>45573</v>
      </c>
      <c r="E247" s="1" t="n">
        <v>46220</v>
      </c>
      <c r="F247" t="inlineStr">
        <is>
          <t>SÖDERMANLANDS LÄN</t>
        </is>
      </c>
      <c r="G247" t="inlineStr">
        <is>
          <t>GNESTA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11929-2022</t>
        </is>
      </c>
      <c r="B248" t="inlineStr">
        <is>
          <t>avverkningsanmälan</t>
        </is>
      </c>
      <c r="C248" t="inlineStr">
        <is>
          <t>Föryngringsavverkning</t>
        </is>
      </c>
      <c r="D248" s="1" t="n">
        <v>44635</v>
      </c>
      <c r="E248" s="1" t="n">
        <v>46220</v>
      </c>
      <c r="F248" t="inlineStr">
        <is>
          <t>SÖDERMANLANDS LÄN</t>
        </is>
      </c>
      <c r="G248" t="inlineStr">
        <is>
          <t>GNESTA</t>
        </is>
      </c>
      <c r="I248" t="n">
        <v>6.8</v>
      </c>
      <c r="J248" t="n">
        <v>0</v>
      </c>
      <c r="K248" t="n">
        <v>0</v>
      </c>
      <c r="L248" t="n">
        <v>0</v>
      </c>
      <c r="M248" t="n">
        <v>0</v>
      </c>
      <c r="N248" t="n">
        <v>0</v>
      </c>
      <c r="O248" t="n">
        <v>0</v>
      </c>
      <c r="P248" t="n">
        <v>0</v>
      </c>
      <c r="Q248" t="n">
        <v>0</v>
      </c>
      <c r="R248" t="n">
        <v>0</v>
      </c>
      <c r="S248" t="n">
        <v>0</v>
      </c>
      <c r="T248" t="n">
        <v>0</v>
      </c>
      <c r="U248" s="2" t="inlineStr"/>
    </row>
    <row r="249" ht="15" customHeight="1">
      <c r="A249" t="inlineStr">
        <is>
          <t>A 58205-2022</t>
        </is>
      </c>
      <c r="B249" t="inlineStr">
        <is>
          <t>avverkningsanmälan</t>
        </is>
      </c>
      <c r="C249" t="inlineStr">
        <is>
          <t>Föryngringsavverkning</t>
        </is>
      </c>
      <c r="D249" s="1" t="n">
        <v>44901</v>
      </c>
      <c r="E249" s="1" t="n">
        <v>46220</v>
      </c>
      <c r="F249" t="inlineStr">
        <is>
          <t>SÖDERMANLANDS LÄN</t>
        </is>
      </c>
      <c r="G249" t="inlineStr">
        <is>
          <t>GNESTA</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73493-2021</t>
        </is>
      </c>
      <c r="B250" t="inlineStr">
        <is>
          <t>avverkningsanmälan</t>
        </is>
      </c>
      <c r="C250" t="inlineStr">
        <is>
          <t>Föryngringsavverkning</t>
        </is>
      </c>
      <c r="D250" s="1" t="n">
        <v>44551</v>
      </c>
      <c r="E250" s="1" t="n">
        <v>46220</v>
      </c>
      <c r="F250" t="inlineStr">
        <is>
          <t>SÖDERMANLANDS LÄN</t>
        </is>
      </c>
      <c r="G250" t="inlineStr">
        <is>
          <t>GNESTA</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29986-2024</t>
        </is>
      </c>
      <c r="B251" t="inlineStr">
        <is>
          <t>avverkningsanmälan</t>
        </is>
      </c>
      <c r="C251" t="inlineStr">
        <is>
          <t>Föryngringsavverkning</t>
        </is>
      </c>
      <c r="D251" s="1" t="n">
        <v>45488</v>
      </c>
      <c r="E251" s="1" t="n">
        <v>46220</v>
      </c>
      <c r="F251" t="inlineStr">
        <is>
          <t>SÖDERMANLANDS LÄN</t>
        </is>
      </c>
      <c r="G251" t="inlineStr">
        <is>
          <t>GNESTA</t>
        </is>
      </c>
      <c r="I251" t="n">
        <v>3.5</v>
      </c>
      <c r="J251" t="n">
        <v>0</v>
      </c>
      <c r="K251" t="n">
        <v>0</v>
      </c>
      <c r="L251" t="n">
        <v>0</v>
      </c>
      <c r="M251" t="n">
        <v>0</v>
      </c>
      <c r="N251" t="n">
        <v>0</v>
      </c>
      <c r="O251" t="n">
        <v>0</v>
      </c>
      <c r="P251" t="n">
        <v>0</v>
      </c>
      <c r="Q251" t="n">
        <v>0</v>
      </c>
      <c r="R251" t="n">
        <v>0</v>
      </c>
      <c r="S251" t="n">
        <v>0</v>
      </c>
      <c r="T251" t="n">
        <v>0</v>
      </c>
      <c r="U251" s="2" t="inlineStr"/>
    </row>
    <row r="252" ht="15" customHeight="1">
      <c r="A252" t="inlineStr">
        <is>
          <t>A 28812-2026</t>
        </is>
      </c>
      <c r="B252" t="inlineStr">
        <is>
          <t>avverkningsanmälan</t>
        </is>
      </c>
      <c r="C252" t="inlineStr">
        <is>
          <t>Föryngringsavverkning</t>
        </is>
      </c>
      <c r="D252" s="1" t="n">
        <v>46198</v>
      </c>
      <c r="E252" s="1" t="n">
        <v>46220</v>
      </c>
      <c r="F252" t="inlineStr">
        <is>
          <t>SÖDERMANLANDS LÄN</t>
        </is>
      </c>
      <c r="G252" t="inlineStr">
        <is>
          <t>GNESTA</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28848-2026</t>
        </is>
      </c>
      <c r="B253" t="inlineStr">
        <is>
          <t>avverkningsanmälan</t>
        </is>
      </c>
      <c r="C253" t="inlineStr">
        <is>
          <t>Föryngringsavverkning</t>
        </is>
      </c>
      <c r="D253" s="1" t="n">
        <v>46198</v>
      </c>
      <c r="E253" s="1" t="n">
        <v>46220</v>
      </c>
      <c r="F253" t="inlineStr">
        <is>
          <t>SÖDERMANLANDS LÄN</t>
        </is>
      </c>
      <c r="G253" t="inlineStr">
        <is>
          <t>GNESTA</t>
        </is>
      </c>
      <c r="I253" t="n">
        <v>3.3</v>
      </c>
      <c r="J253" t="n">
        <v>0</v>
      </c>
      <c r="K253" t="n">
        <v>0</v>
      </c>
      <c r="L253" t="n">
        <v>0</v>
      </c>
      <c r="M253" t="n">
        <v>0</v>
      </c>
      <c r="N253" t="n">
        <v>0</v>
      </c>
      <c r="O253" t="n">
        <v>0</v>
      </c>
      <c r="P253" t="n">
        <v>0</v>
      </c>
      <c r="Q253" t="n">
        <v>0</v>
      </c>
      <c r="R253" t="n">
        <v>0</v>
      </c>
      <c r="S253" t="n">
        <v>0</v>
      </c>
      <c r="T253" t="n">
        <v>0</v>
      </c>
      <c r="U253" s="2" t="inlineStr"/>
    </row>
    <row r="254" ht="15" customHeight="1">
      <c r="A254" t="inlineStr">
        <is>
          <t>A 28811-2026</t>
        </is>
      </c>
      <c r="B254" t="inlineStr">
        <is>
          <t>avverkningsanmälan</t>
        </is>
      </c>
      <c r="C254" t="inlineStr">
        <is>
          <t>Föryngringsavverkning</t>
        </is>
      </c>
      <c r="D254" s="1" t="n">
        <v>46198</v>
      </c>
      <c r="E254" s="1" t="n">
        <v>46220</v>
      </c>
      <c r="F254" t="inlineStr">
        <is>
          <t>SÖDERMANLANDS LÄN</t>
        </is>
      </c>
      <c r="G254" t="inlineStr">
        <is>
          <t>GNESTA</t>
        </is>
      </c>
      <c r="I254" t="n">
        <v>2.9</v>
      </c>
      <c r="J254" t="n">
        <v>0</v>
      </c>
      <c r="K254" t="n">
        <v>0</v>
      </c>
      <c r="L254" t="n">
        <v>0</v>
      </c>
      <c r="M254" t="n">
        <v>0</v>
      </c>
      <c r="N254" t="n">
        <v>0</v>
      </c>
      <c r="O254" t="n">
        <v>0</v>
      </c>
      <c r="P254" t="n">
        <v>0</v>
      </c>
      <c r="Q254" t="n">
        <v>0</v>
      </c>
      <c r="R254" t="n">
        <v>0</v>
      </c>
      <c r="S254" t="n">
        <v>0</v>
      </c>
      <c r="T254" t="n">
        <v>0</v>
      </c>
      <c r="U254" s="2" t="inlineStr"/>
    </row>
    <row r="255" ht="15" customHeight="1">
      <c r="A255" t="inlineStr">
        <is>
          <t>A 28823-2026</t>
        </is>
      </c>
      <c r="B255" t="inlineStr">
        <is>
          <t>avverkningsanmälan</t>
        </is>
      </c>
      <c r="C255" t="inlineStr">
        <is>
          <t>Föryngringsavverkning</t>
        </is>
      </c>
      <c r="D255" s="1" t="n">
        <v>46198</v>
      </c>
      <c r="E255" s="1" t="n">
        <v>46220</v>
      </c>
      <c r="F255" t="inlineStr">
        <is>
          <t>SÖDERMANLANDS LÄN</t>
        </is>
      </c>
      <c r="G255" t="inlineStr">
        <is>
          <t>GNESTA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54702-2021</t>
        </is>
      </c>
      <c r="B256" t="inlineStr">
        <is>
          <t>avverkningsanmälan</t>
        </is>
      </c>
      <c r="C256" t="inlineStr">
        <is>
          <t>Avverkning för annat ändamål</t>
        </is>
      </c>
      <c r="D256" s="1" t="n">
        <v>44473</v>
      </c>
      <c r="E256" s="1" t="n">
        <v>46220</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57930-2023</t>
        </is>
      </c>
      <c r="B257" t="inlineStr">
        <is>
          <t>avverkningsanmälan</t>
        </is>
      </c>
      <c r="C257" t="inlineStr">
        <is>
          <t>Föryngringsavverkning</t>
        </is>
      </c>
      <c r="D257" s="1" t="n">
        <v>45247</v>
      </c>
      <c r="E257" s="1" t="n">
        <v>46220</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60295-2023</t>
        </is>
      </c>
      <c r="B258" t="inlineStr">
        <is>
          <t>avverkningsanmälan</t>
        </is>
      </c>
      <c r="C258" t="inlineStr">
        <is>
          <t>Föryngringsavverkning</t>
        </is>
      </c>
      <c r="D258" s="1" t="n">
        <v>45257</v>
      </c>
      <c r="E258" s="1" t="n">
        <v>46220</v>
      </c>
      <c r="F258" t="inlineStr">
        <is>
          <t>SÖDERMANLANDS LÄN</t>
        </is>
      </c>
      <c r="G258" t="inlineStr">
        <is>
          <t>GNESTA</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28840-2026</t>
        </is>
      </c>
      <c r="B259" t="inlineStr">
        <is>
          <t>avverkningsanmälan</t>
        </is>
      </c>
      <c r="C259" t="inlineStr">
        <is>
          <t>Föryngringsavverkning</t>
        </is>
      </c>
      <c r="D259" s="1" t="n">
        <v>46198</v>
      </c>
      <c r="E259" s="1" t="n">
        <v>46220</v>
      </c>
      <c r="F259" t="inlineStr">
        <is>
          <t>SÖDERMANLANDS LÄN</t>
        </is>
      </c>
      <c r="G259" t="inlineStr">
        <is>
          <t>GNESTA</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36205-2022</t>
        </is>
      </c>
      <c r="B260" t="inlineStr">
        <is>
          <t>avverkningsanmälan</t>
        </is>
      </c>
      <c r="C260" t="inlineStr">
        <is>
          <t>Föryngringsavverkning</t>
        </is>
      </c>
      <c r="D260" s="1" t="n">
        <v>44803</v>
      </c>
      <c r="E260" s="1" t="n">
        <v>46220</v>
      </c>
      <c r="F260" t="inlineStr">
        <is>
          <t>SÖDERMANLANDS LÄN</t>
        </is>
      </c>
      <c r="G260" t="inlineStr">
        <is>
          <t>GNESTA</t>
        </is>
      </c>
      <c r="I260" t="n">
        <v>5.8</v>
      </c>
      <c r="J260" t="n">
        <v>0</v>
      </c>
      <c r="K260" t="n">
        <v>0</v>
      </c>
      <c r="L260" t="n">
        <v>0</v>
      </c>
      <c r="M260" t="n">
        <v>0</v>
      </c>
      <c r="N260" t="n">
        <v>0</v>
      </c>
      <c r="O260" t="n">
        <v>0</v>
      </c>
      <c r="P260" t="n">
        <v>0</v>
      </c>
      <c r="Q260" t="n">
        <v>0</v>
      </c>
      <c r="R260" t="n">
        <v>0</v>
      </c>
      <c r="S260" t="n">
        <v>0</v>
      </c>
      <c r="T260" t="n">
        <v>0</v>
      </c>
      <c r="U260" s="2" t="inlineStr"/>
    </row>
    <row r="261" ht="15" customHeight="1">
      <c r="A261" t="inlineStr">
        <is>
          <t>A 28852-2026</t>
        </is>
      </c>
      <c r="B261" t="inlineStr">
        <is>
          <t>avverkningsanmälan</t>
        </is>
      </c>
      <c r="C261" t="inlineStr">
        <is>
          <t>Föryngringsavverkning</t>
        </is>
      </c>
      <c r="D261" s="1" t="n">
        <v>46198</v>
      </c>
      <c r="E261" s="1" t="n">
        <v>46220</v>
      </c>
      <c r="F261" t="inlineStr">
        <is>
          <t>SÖDERMANLANDS LÄN</t>
        </is>
      </c>
      <c r="G261" t="inlineStr">
        <is>
          <t>GNESTA</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28816-2026</t>
        </is>
      </c>
      <c r="B262" t="inlineStr">
        <is>
          <t>avverkningsanmälan</t>
        </is>
      </c>
      <c r="C262" t="inlineStr">
        <is>
          <t>Föryngringsavverkning</t>
        </is>
      </c>
      <c r="D262" s="1" t="n">
        <v>46198</v>
      </c>
      <c r="E262" s="1" t="n">
        <v>46220</v>
      </c>
      <c r="F262" t="inlineStr">
        <is>
          <t>SÖDERMANLANDS LÄN</t>
        </is>
      </c>
      <c r="G262" t="inlineStr">
        <is>
          <t>GNESTA</t>
        </is>
      </c>
      <c r="I262" t="n">
        <v>4.1</v>
      </c>
      <c r="J262" t="n">
        <v>0</v>
      </c>
      <c r="K262" t="n">
        <v>0</v>
      </c>
      <c r="L262" t="n">
        <v>0</v>
      </c>
      <c r="M262" t="n">
        <v>0</v>
      </c>
      <c r="N262" t="n">
        <v>0</v>
      </c>
      <c r="O262" t="n">
        <v>0</v>
      </c>
      <c r="P262" t="n">
        <v>0</v>
      </c>
      <c r="Q262" t="n">
        <v>0</v>
      </c>
      <c r="R262" t="n">
        <v>0</v>
      </c>
      <c r="S262" t="n">
        <v>0</v>
      </c>
      <c r="T262" t="n">
        <v>0</v>
      </c>
      <c r="U262" s="2" t="inlineStr"/>
    </row>
    <row r="263" ht="15" customHeight="1">
      <c r="A263" t="inlineStr">
        <is>
          <t>A 28850-2026</t>
        </is>
      </c>
      <c r="B263" t="inlineStr">
        <is>
          <t>avverkningsanmälan</t>
        </is>
      </c>
      <c r="C263" t="inlineStr">
        <is>
          <t>Föryngringsavverkning</t>
        </is>
      </c>
      <c r="D263" s="1" t="n">
        <v>46198</v>
      </c>
      <c r="E263" s="1" t="n">
        <v>46220</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34437-2023</t>
        </is>
      </c>
      <c r="B264" t="inlineStr">
        <is>
          <t>avverkningsanmälan</t>
        </is>
      </c>
      <c r="C264" t="inlineStr">
        <is>
          <t>Avverkning för annat ändamål</t>
        </is>
      </c>
      <c r="D264" s="1" t="n">
        <v>45133</v>
      </c>
      <c r="E264" s="1" t="n">
        <v>46220</v>
      </c>
      <c r="F264" t="inlineStr">
        <is>
          <t>SÖDERMANLANDS LÄN</t>
        </is>
      </c>
      <c r="G264" t="inlineStr">
        <is>
          <t>GNESTA</t>
        </is>
      </c>
      <c r="I264" t="n">
        <v>9.699999999999999</v>
      </c>
      <c r="J264" t="n">
        <v>0</v>
      </c>
      <c r="K264" t="n">
        <v>0</v>
      </c>
      <c r="L264" t="n">
        <v>0</v>
      </c>
      <c r="M264" t="n">
        <v>0</v>
      </c>
      <c r="N264" t="n">
        <v>0</v>
      </c>
      <c r="O264" t="n">
        <v>0</v>
      </c>
      <c r="P264" t="n">
        <v>0</v>
      </c>
      <c r="Q264" t="n">
        <v>0</v>
      </c>
      <c r="R264" t="n">
        <v>0</v>
      </c>
      <c r="S264" t="n">
        <v>0</v>
      </c>
      <c r="T264" t="n">
        <v>0</v>
      </c>
      <c r="U264" s="2" t="inlineStr"/>
    </row>
    <row r="265" ht="15" customHeight="1">
      <c r="A265" t="inlineStr">
        <is>
          <t>A 42428-2021</t>
        </is>
      </c>
      <c r="B265" t="inlineStr">
        <is>
          <t>avverkningsanmälan</t>
        </is>
      </c>
      <c r="C265" t="inlineStr">
        <is>
          <t>Föryngringsavverkning</t>
        </is>
      </c>
      <c r="D265" s="1" t="n">
        <v>44427</v>
      </c>
      <c r="E265" s="1" t="n">
        <v>46220</v>
      </c>
      <c r="F265" t="inlineStr">
        <is>
          <t>SÖDERMANLANDS LÄN</t>
        </is>
      </c>
      <c r="G265" t="inlineStr">
        <is>
          <t>GNESTA</t>
        </is>
      </c>
      <c r="I265" t="n">
        <v>9.1</v>
      </c>
      <c r="J265" t="n">
        <v>0</v>
      </c>
      <c r="K265" t="n">
        <v>0</v>
      </c>
      <c r="L265" t="n">
        <v>0</v>
      </c>
      <c r="M265" t="n">
        <v>0</v>
      </c>
      <c r="N265" t="n">
        <v>0</v>
      </c>
      <c r="O265" t="n">
        <v>0</v>
      </c>
      <c r="P265" t="n">
        <v>0</v>
      </c>
      <c r="Q265" t="n">
        <v>0</v>
      </c>
      <c r="R265" t="n">
        <v>0</v>
      </c>
      <c r="S265" t="n">
        <v>0</v>
      </c>
      <c r="T265" t="n">
        <v>0</v>
      </c>
      <c r="U265" s="2" t="inlineStr"/>
    </row>
    <row r="266" ht="15" customHeight="1">
      <c r="A266" t="inlineStr">
        <is>
          <t>A 6228-2024</t>
        </is>
      </c>
      <c r="B266" t="inlineStr">
        <is>
          <t>avverkningsanmälan</t>
        </is>
      </c>
      <c r="C266" t="inlineStr">
        <is>
          <t>Föryngringsavverkning</t>
        </is>
      </c>
      <c r="D266" s="1" t="n">
        <v>45337</v>
      </c>
      <c r="E266" s="1" t="n">
        <v>46220</v>
      </c>
      <c r="F266" t="inlineStr">
        <is>
          <t>SÖDERMANLANDS LÄN</t>
        </is>
      </c>
      <c r="G266" t="inlineStr">
        <is>
          <t>GNESTA</t>
        </is>
      </c>
      <c r="I266" t="n">
        <v>10.4</v>
      </c>
      <c r="J266" t="n">
        <v>0</v>
      </c>
      <c r="K266" t="n">
        <v>0</v>
      </c>
      <c r="L266" t="n">
        <v>0</v>
      </c>
      <c r="M266" t="n">
        <v>0</v>
      </c>
      <c r="N266" t="n">
        <v>0</v>
      </c>
      <c r="O266" t="n">
        <v>0</v>
      </c>
      <c r="P266" t="n">
        <v>0</v>
      </c>
      <c r="Q266" t="n">
        <v>0</v>
      </c>
      <c r="R266" t="n">
        <v>0</v>
      </c>
      <c r="S266" t="n">
        <v>0</v>
      </c>
      <c r="T266" t="n">
        <v>0</v>
      </c>
      <c r="U266" s="2" t="inlineStr"/>
    </row>
    <row r="267" ht="15" customHeight="1">
      <c r="A267" t="inlineStr">
        <is>
          <t>A 6979-2024</t>
        </is>
      </c>
      <c r="B267" t="inlineStr">
        <is>
          <t>avverkningsanmälan</t>
        </is>
      </c>
      <c r="C267" t="inlineStr">
        <is>
          <t>Föryngringsavverkning</t>
        </is>
      </c>
      <c r="D267" s="1" t="n">
        <v>45343</v>
      </c>
      <c r="E267" s="1" t="n">
        <v>46220</v>
      </c>
      <c r="F267" t="inlineStr">
        <is>
          <t>SÖDERMANLANDS LÄN</t>
        </is>
      </c>
      <c r="G267" t="inlineStr">
        <is>
          <t>GNESTA</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72341-2021</t>
        </is>
      </c>
      <c r="B268" t="inlineStr">
        <is>
          <t>avverkningsanmälan</t>
        </is>
      </c>
      <c r="C268" t="inlineStr">
        <is>
          <t>Föryngringsavverkning</t>
        </is>
      </c>
      <c r="D268" s="1" t="n">
        <v>44545</v>
      </c>
      <c r="E268" s="1" t="n">
        <v>46220</v>
      </c>
      <c r="F268" t="inlineStr">
        <is>
          <t>SÖDERMANLANDS LÄN</t>
        </is>
      </c>
      <c r="G268" t="inlineStr">
        <is>
          <t>GNESTA</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22228-2024</t>
        </is>
      </c>
      <c r="B269" t="inlineStr">
        <is>
          <t>avverkningsanmälan</t>
        </is>
      </c>
      <c r="C269" t="inlineStr">
        <is>
          <t>Föryngringsavverkning</t>
        </is>
      </c>
      <c r="D269" s="1" t="n">
        <v>45446</v>
      </c>
      <c r="E269" s="1" t="n">
        <v>46220</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30135-2026</t>
        </is>
      </c>
      <c r="B270" t="inlineStr">
        <is>
          <t>avverkningsanmälan</t>
        </is>
      </c>
      <c r="C270" t="inlineStr">
        <is>
          <t>Föryngringsavverkning</t>
        </is>
      </c>
      <c r="D270" s="1" t="n">
        <v>46206</v>
      </c>
      <c r="E270" s="1" t="n">
        <v>46220</v>
      </c>
      <c r="F270" t="inlineStr">
        <is>
          <t>SÖDERMANLANDS LÄN</t>
        </is>
      </c>
      <c r="G270" t="inlineStr">
        <is>
          <t>GNESTA</t>
        </is>
      </c>
      <c r="I270" t="n">
        <v>4.1</v>
      </c>
      <c r="J270" t="n">
        <v>0</v>
      </c>
      <c r="K270" t="n">
        <v>0</v>
      </c>
      <c r="L270" t="n">
        <v>0</v>
      </c>
      <c r="M270" t="n">
        <v>0</v>
      </c>
      <c r="N270" t="n">
        <v>0</v>
      </c>
      <c r="O270" t="n">
        <v>0</v>
      </c>
      <c r="P270" t="n">
        <v>0</v>
      </c>
      <c r="Q270" t="n">
        <v>0</v>
      </c>
      <c r="R270" t="n">
        <v>0</v>
      </c>
      <c r="S270" t="n">
        <v>0</v>
      </c>
      <c r="T270" t="n">
        <v>0</v>
      </c>
      <c r="U270" s="2" t="inlineStr"/>
    </row>
    <row r="271" ht="15" customHeight="1">
      <c r="A271" t="inlineStr">
        <is>
          <t>A 56799-2021</t>
        </is>
      </c>
      <c r="B271" t="inlineStr">
        <is>
          <t>avverkningsanmälan</t>
        </is>
      </c>
      <c r="C271" t="inlineStr">
        <is>
          <t>Föryngringsavverkning</t>
        </is>
      </c>
      <c r="D271" s="1" t="n">
        <v>44481</v>
      </c>
      <c r="E271" s="1" t="n">
        <v>46220</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34596-2023</t>
        </is>
      </c>
      <c r="B272" t="inlineStr">
        <is>
          <t>avverkningsanmälan</t>
        </is>
      </c>
      <c r="C272" t="inlineStr">
        <is>
          <t>Föryngringsavverkning</t>
        </is>
      </c>
      <c r="D272" s="1" t="n">
        <v>45140</v>
      </c>
      <c r="E272" s="1" t="n">
        <v>46220</v>
      </c>
      <c r="F272" t="inlineStr">
        <is>
          <t>SÖDERMANLANDS LÄN</t>
        </is>
      </c>
      <c r="G272" t="inlineStr">
        <is>
          <t>GNESTA</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41260-2023</t>
        </is>
      </c>
      <c r="B273" t="inlineStr">
        <is>
          <t>avverkningsanmälan</t>
        </is>
      </c>
      <c r="C273" t="inlineStr">
        <is>
          <t>Föryngringsavverkning</t>
        </is>
      </c>
      <c r="D273" s="1" t="n">
        <v>45174</v>
      </c>
      <c r="E273" s="1" t="n">
        <v>46220</v>
      </c>
      <c r="F273" t="inlineStr">
        <is>
          <t>SÖDERMANLANDS LÄN</t>
        </is>
      </c>
      <c r="G273" t="inlineStr">
        <is>
          <t>GNESTA</t>
        </is>
      </c>
      <c r="I273" t="n">
        <v>5.9</v>
      </c>
      <c r="J273" t="n">
        <v>0</v>
      </c>
      <c r="K273" t="n">
        <v>0</v>
      </c>
      <c r="L273" t="n">
        <v>0</v>
      </c>
      <c r="M273" t="n">
        <v>0</v>
      </c>
      <c r="N273" t="n">
        <v>0</v>
      </c>
      <c r="O273" t="n">
        <v>0</v>
      </c>
      <c r="P273" t="n">
        <v>0</v>
      </c>
      <c r="Q273" t="n">
        <v>0</v>
      </c>
      <c r="R273" t="n">
        <v>0</v>
      </c>
      <c r="S273" t="n">
        <v>0</v>
      </c>
      <c r="T273" t="n">
        <v>0</v>
      </c>
      <c r="U273" s="2" t="inlineStr"/>
    </row>
    <row r="274" ht="15" customHeight="1">
      <c r="A274" t="inlineStr">
        <is>
          <t>A 30130-2026</t>
        </is>
      </c>
      <c r="B274" t="inlineStr">
        <is>
          <t>avverkningsanmälan</t>
        </is>
      </c>
      <c r="C274" t="inlineStr">
        <is>
          <t>Föryngringsavverkning</t>
        </is>
      </c>
      <c r="D274" s="1" t="n">
        <v>46206</v>
      </c>
      <c r="E274" s="1" t="n">
        <v>46220</v>
      </c>
      <c r="F274" t="inlineStr">
        <is>
          <t>SÖDERMANLANDS LÄN</t>
        </is>
      </c>
      <c r="G274" t="inlineStr">
        <is>
          <t>GNESTA</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44381-2024</t>
        </is>
      </c>
      <c r="B275" t="inlineStr">
        <is>
          <t>avverkningsanmälan</t>
        </is>
      </c>
      <c r="C275" t="inlineStr">
        <is>
          <t>Föryngringsavverkning</t>
        </is>
      </c>
      <c r="D275" s="1" t="n">
        <v>45573</v>
      </c>
      <c r="E275" s="1" t="n">
        <v>46220</v>
      </c>
      <c r="F275" t="inlineStr">
        <is>
          <t>SÖDERMANLANDS LÄN</t>
        </is>
      </c>
      <c r="G275" t="inlineStr">
        <is>
          <t>GNESTA</t>
        </is>
      </c>
      <c r="I275" t="n">
        <v>6.3</v>
      </c>
      <c r="J275" t="n">
        <v>0</v>
      </c>
      <c r="K275" t="n">
        <v>0</v>
      </c>
      <c r="L275" t="n">
        <v>0</v>
      </c>
      <c r="M275" t="n">
        <v>0</v>
      </c>
      <c r="N275" t="n">
        <v>0</v>
      </c>
      <c r="O275" t="n">
        <v>0</v>
      </c>
      <c r="P275" t="n">
        <v>0</v>
      </c>
      <c r="Q275" t="n">
        <v>0</v>
      </c>
      <c r="R275" t="n">
        <v>0</v>
      </c>
      <c r="S275" t="n">
        <v>0</v>
      </c>
      <c r="T275" t="n">
        <v>0</v>
      </c>
      <c r="U275" s="2" t="inlineStr"/>
    </row>
    <row r="276" ht="15" customHeight="1">
      <c r="A276" t="inlineStr">
        <is>
          <t>A 1549-2022</t>
        </is>
      </c>
      <c r="B276" t="inlineStr">
        <is>
          <t>avverkningsanmälan</t>
        </is>
      </c>
      <c r="C276" t="inlineStr">
        <is>
          <t>Föryngringsavverkning</t>
        </is>
      </c>
      <c r="D276" s="1" t="n">
        <v>44573</v>
      </c>
      <c r="E276" s="1" t="n">
        <v>46220</v>
      </c>
      <c r="F276" t="inlineStr">
        <is>
          <t>SÖDERMANLANDS LÄN</t>
        </is>
      </c>
      <c r="G276" t="inlineStr">
        <is>
          <t>GNESTA</t>
        </is>
      </c>
      <c r="I276" t="n">
        <v>32.6</v>
      </c>
      <c r="J276" t="n">
        <v>0</v>
      </c>
      <c r="K276" t="n">
        <v>0</v>
      </c>
      <c r="L276" t="n">
        <v>0</v>
      </c>
      <c r="M276" t="n">
        <v>0</v>
      </c>
      <c r="N276" t="n">
        <v>0</v>
      </c>
      <c r="O276" t="n">
        <v>0</v>
      </c>
      <c r="P276" t="n">
        <v>0</v>
      </c>
      <c r="Q276" t="n">
        <v>0</v>
      </c>
      <c r="R276" t="n">
        <v>0</v>
      </c>
      <c r="S276" t="n">
        <v>0</v>
      </c>
      <c r="T276" t="n">
        <v>0</v>
      </c>
      <c r="U276" s="2" t="inlineStr"/>
    </row>
    <row r="277" ht="15" customHeight="1">
      <c r="A277" t="inlineStr">
        <is>
          <t>A 44050-2023</t>
        </is>
      </c>
      <c r="B277" t="inlineStr">
        <is>
          <t>avverkningsanmälan</t>
        </is>
      </c>
      <c r="C277" t="inlineStr">
        <is>
          <t>Föryngringsavverkning</t>
        </is>
      </c>
      <c r="D277" s="1" t="n">
        <v>45188</v>
      </c>
      <c r="E277" s="1" t="n">
        <v>46220</v>
      </c>
      <c r="F277" t="inlineStr">
        <is>
          <t>SÖDERMANLANDS LÄN</t>
        </is>
      </c>
      <c r="G277" t="inlineStr">
        <is>
          <t>GNESTA</t>
        </is>
      </c>
      <c r="H277" t="inlineStr">
        <is>
          <t>Holmen skog AB</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26138-2024</t>
        </is>
      </c>
      <c r="B278" t="inlineStr">
        <is>
          <t>avverkningsanmälan</t>
        </is>
      </c>
      <c r="C278" t="inlineStr">
        <is>
          <t>Föryngringsavverkning</t>
        </is>
      </c>
      <c r="D278" s="1" t="n">
        <v>45468</v>
      </c>
      <c r="E278" s="1" t="n">
        <v>46220</v>
      </c>
      <c r="F278" t="inlineStr">
        <is>
          <t>SÖDERMANLANDS LÄN</t>
        </is>
      </c>
      <c r="G278" t="inlineStr">
        <is>
          <t>GNESTA</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26141-2024</t>
        </is>
      </c>
      <c r="B279" t="inlineStr">
        <is>
          <t>avverkningsanmälan</t>
        </is>
      </c>
      <c r="C279" t="inlineStr">
        <is>
          <t>Föryngringsavverkning</t>
        </is>
      </c>
      <c r="D279" s="1" t="n">
        <v>45468</v>
      </c>
      <c r="E279" s="1" t="n">
        <v>46220</v>
      </c>
      <c r="F279" t="inlineStr">
        <is>
          <t>SÖDERMANLANDS LÄN</t>
        </is>
      </c>
      <c r="G279" t="inlineStr">
        <is>
          <t>GNESTA</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59471-2022</t>
        </is>
      </c>
      <c r="B280" t="inlineStr">
        <is>
          <t>avverkningsanmälan</t>
        </is>
      </c>
      <c r="C280" t="inlineStr">
        <is>
          <t>Föryngringsavverkning</t>
        </is>
      </c>
      <c r="D280" s="1" t="n">
        <v>44907</v>
      </c>
      <c r="E280" s="1" t="n">
        <v>46220</v>
      </c>
      <c r="F280" t="inlineStr">
        <is>
          <t>SÖDERMANLANDS LÄN</t>
        </is>
      </c>
      <c r="G280" t="inlineStr">
        <is>
          <t>GNESTA</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60948-2024</t>
        </is>
      </c>
      <c r="B281" t="inlineStr">
        <is>
          <t>avverkningsanmälan</t>
        </is>
      </c>
      <c r="C281" t="inlineStr">
        <is>
          <t>Föryngringsavverkning</t>
        </is>
      </c>
      <c r="D281" s="1" t="n">
        <v>45645</v>
      </c>
      <c r="E281" s="1" t="n">
        <v>46220</v>
      </c>
      <c r="F281" t="inlineStr">
        <is>
          <t>SÖDERMANLANDS LÄN</t>
        </is>
      </c>
      <c r="G281" t="inlineStr">
        <is>
          <t>GNESTA</t>
        </is>
      </c>
      <c r="H281" t="inlineStr">
        <is>
          <t>Holmen skog AB</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59380-2023</t>
        </is>
      </c>
      <c r="B282" t="inlineStr">
        <is>
          <t>avverkningsanmälan</t>
        </is>
      </c>
      <c r="C282" t="inlineStr">
        <is>
          <t>Föryngringsavverkning</t>
        </is>
      </c>
      <c r="D282" s="1" t="n">
        <v>45253</v>
      </c>
      <c r="E282" s="1" t="n">
        <v>46220</v>
      </c>
      <c r="F282" t="inlineStr">
        <is>
          <t>SÖDERMANLANDS LÄN</t>
        </is>
      </c>
      <c r="G282" t="inlineStr">
        <is>
          <t>GNESTA</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30754-2026</t>
        </is>
      </c>
      <c r="B283" t="inlineStr">
        <is>
          <t>avverkningsanmälan</t>
        </is>
      </c>
      <c r="C283" t="inlineStr">
        <is>
          <t>Avverkning för annat ändamål</t>
        </is>
      </c>
      <c r="D283" s="1" t="n">
        <v>46212</v>
      </c>
      <c r="E283" s="1" t="n">
        <v>46220</v>
      </c>
      <c r="F283" t="inlineStr">
        <is>
          <t>SÖDERMANLANDS LÄN</t>
        </is>
      </c>
      <c r="G283" t="inlineStr">
        <is>
          <t>GNESTA</t>
        </is>
      </c>
      <c r="H283" t="inlineStr">
        <is>
          <t>Övriga Aktiebolag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34696-2022</t>
        </is>
      </c>
      <c r="B284" t="inlineStr">
        <is>
          <t>avverkningsanmälan</t>
        </is>
      </c>
      <c r="C284" t="inlineStr">
        <is>
          <t>Föryngringsavverkning</t>
        </is>
      </c>
      <c r="D284" s="1" t="n">
        <v>44795</v>
      </c>
      <c r="E284" s="1" t="n">
        <v>46220</v>
      </c>
      <c r="F284" t="inlineStr">
        <is>
          <t>SÖDERMANLANDS LÄN</t>
        </is>
      </c>
      <c r="G284" t="inlineStr">
        <is>
          <t>GNESTA</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55619-2024</t>
        </is>
      </c>
      <c r="B285" t="inlineStr">
        <is>
          <t>avverkningsanmälan</t>
        </is>
      </c>
      <c r="C285" t="inlineStr">
        <is>
          <t>Föryngringsavverkning</t>
        </is>
      </c>
      <c r="D285" s="1" t="n">
        <v>45622</v>
      </c>
      <c r="E285" s="1" t="n">
        <v>46220</v>
      </c>
      <c r="F285" t="inlineStr">
        <is>
          <t>SÖDERMANLANDS LÄN</t>
        </is>
      </c>
      <c r="G285" t="inlineStr">
        <is>
          <t>GNESTA</t>
        </is>
      </c>
      <c r="I285" t="n">
        <v>1.7</v>
      </c>
      <c r="J285" t="n">
        <v>0</v>
      </c>
      <c r="K285" t="n">
        <v>0</v>
      </c>
      <c r="L285" t="n">
        <v>0</v>
      </c>
      <c r="M285" t="n">
        <v>0</v>
      </c>
      <c r="N285" t="n">
        <v>0</v>
      </c>
      <c r="O285" t="n">
        <v>0</v>
      </c>
      <c r="P285" t="n">
        <v>0</v>
      </c>
      <c r="Q285" t="n">
        <v>0</v>
      </c>
      <c r="R285" t="n">
        <v>0</v>
      </c>
      <c r="S285" t="n">
        <v>0</v>
      </c>
      <c r="T285" t="n">
        <v>0</v>
      </c>
      <c r="U285" s="2" t="inlineStr"/>
    </row>
    <row r="286" ht="15" customHeight="1">
      <c r="A286" t="inlineStr">
        <is>
          <t>A 47013-2022</t>
        </is>
      </c>
      <c r="B286" t="inlineStr">
        <is>
          <t>avverkningsanmälan</t>
        </is>
      </c>
      <c r="C286" t="inlineStr">
        <is>
          <t>Föryngringsavverkning</t>
        </is>
      </c>
      <c r="D286" s="1" t="n">
        <v>44852</v>
      </c>
      <c r="E286" s="1" t="n">
        <v>46220</v>
      </c>
      <c r="F286" t="inlineStr">
        <is>
          <t>SÖDERMANLANDS LÄN</t>
        </is>
      </c>
      <c r="G286" t="inlineStr">
        <is>
          <t>GNESTA</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56720-2023</t>
        </is>
      </c>
      <c r="B287" t="inlineStr">
        <is>
          <t>avverkningsanmälan</t>
        </is>
      </c>
      <c r="C287" t="inlineStr">
        <is>
          <t>Föryngringsavverkning</t>
        </is>
      </c>
      <c r="D287" s="1" t="n">
        <v>45238</v>
      </c>
      <c r="E287" s="1" t="n">
        <v>46220</v>
      </c>
      <c r="F287" t="inlineStr">
        <is>
          <t>SÖDERMANLANDS LÄN</t>
        </is>
      </c>
      <c r="G287" t="inlineStr">
        <is>
          <t>GNESTA</t>
        </is>
      </c>
      <c r="I287" t="n">
        <v>4.3</v>
      </c>
      <c r="J287" t="n">
        <v>0</v>
      </c>
      <c r="K287" t="n">
        <v>0</v>
      </c>
      <c r="L287" t="n">
        <v>0</v>
      </c>
      <c r="M287" t="n">
        <v>0</v>
      </c>
      <c r="N287" t="n">
        <v>0</v>
      </c>
      <c r="O287" t="n">
        <v>0</v>
      </c>
      <c r="P287" t="n">
        <v>0</v>
      </c>
      <c r="Q287" t="n">
        <v>0</v>
      </c>
      <c r="R287" t="n">
        <v>0</v>
      </c>
      <c r="S287" t="n">
        <v>0</v>
      </c>
      <c r="T287" t="n">
        <v>0</v>
      </c>
      <c r="U287" s="2" t="inlineStr"/>
    </row>
    <row r="288" ht="15" customHeight="1">
      <c r="A288" t="inlineStr">
        <is>
          <t>A 5928-2023</t>
        </is>
      </c>
      <c r="B288" t="inlineStr">
        <is>
          <t>avverkningsanmälan</t>
        </is>
      </c>
      <c r="C288" t="inlineStr">
        <is>
          <t>Föryngringsavverkning</t>
        </is>
      </c>
      <c r="D288" s="1" t="n">
        <v>44963</v>
      </c>
      <c r="E288" s="1" t="n">
        <v>46220</v>
      </c>
      <c r="F288" t="inlineStr">
        <is>
          <t>SÖDERMANLANDS LÄN</t>
        </is>
      </c>
      <c r="G288" t="inlineStr">
        <is>
          <t>GNESTA</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61134-2024</t>
        </is>
      </c>
      <c r="B289" t="inlineStr">
        <is>
          <t>avverkningsanmälan</t>
        </is>
      </c>
      <c r="C289" t="inlineStr">
        <is>
          <t>Föryngringsavverkning</t>
        </is>
      </c>
      <c r="D289" s="1" t="n">
        <v>45645</v>
      </c>
      <c r="E289" s="1" t="n">
        <v>46220</v>
      </c>
      <c r="F289" t="inlineStr">
        <is>
          <t>SÖDERMANLANDS LÄN</t>
        </is>
      </c>
      <c r="G289" t="inlineStr">
        <is>
          <t>GNESTA</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43076-2023</t>
        </is>
      </c>
      <c r="B290" t="inlineStr">
        <is>
          <t>avverkningsanmälan</t>
        </is>
      </c>
      <c r="C290" t="inlineStr">
        <is>
          <t>Föryngringsavverkning</t>
        </is>
      </c>
      <c r="D290" s="1" t="n">
        <v>45182</v>
      </c>
      <c r="E290" s="1" t="n">
        <v>46220</v>
      </c>
      <c r="F290" t="inlineStr">
        <is>
          <t>SÖDERMANLANDS LÄN</t>
        </is>
      </c>
      <c r="G290" t="inlineStr">
        <is>
          <t>GNESTA</t>
        </is>
      </c>
      <c r="I290" t="n">
        <v>18.2</v>
      </c>
      <c r="J290" t="n">
        <v>0</v>
      </c>
      <c r="K290" t="n">
        <v>0</v>
      </c>
      <c r="L290" t="n">
        <v>0</v>
      </c>
      <c r="M290" t="n">
        <v>0</v>
      </c>
      <c r="N290" t="n">
        <v>0</v>
      </c>
      <c r="O290" t="n">
        <v>0</v>
      </c>
      <c r="P290" t="n">
        <v>0</v>
      </c>
      <c r="Q290" t="n">
        <v>0</v>
      </c>
      <c r="R290" t="n">
        <v>0</v>
      </c>
      <c r="S290" t="n">
        <v>0</v>
      </c>
      <c r="T290" t="n">
        <v>0</v>
      </c>
      <c r="U290" s="2" t="inlineStr"/>
    </row>
    <row r="291" ht="15" customHeight="1">
      <c r="A291" t="inlineStr">
        <is>
          <t>A 34429-2023</t>
        </is>
      </c>
      <c r="B291" t="inlineStr">
        <is>
          <t>avverkningsanmälan</t>
        </is>
      </c>
      <c r="C291" t="inlineStr">
        <is>
          <t>Föryngringsavverkning</t>
        </is>
      </c>
      <c r="D291" s="1" t="n">
        <v>45133</v>
      </c>
      <c r="E291" s="1" t="n">
        <v>46220</v>
      </c>
      <c r="F291" t="inlineStr">
        <is>
          <t>SÖDERMANLANDS LÄN</t>
        </is>
      </c>
      <c r="G291" t="inlineStr">
        <is>
          <t>GNESTA</t>
        </is>
      </c>
      <c r="I291" t="n">
        <v>1.9</v>
      </c>
      <c r="J291" t="n">
        <v>0</v>
      </c>
      <c r="K291" t="n">
        <v>0</v>
      </c>
      <c r="L291" t="n">
        <v>0</v>
      </c>
      <c r="M291" t="n">
        <v>0</v>
      </c>
      <c r="N291" t="n">
        <v>0</v>
      </c>
      <c r="O291" t="n">
        <v>0</v>
      </c>
      <c r="P291" t="n">
        <v>0</v>
      </c>
      <c r="Q291" t="n">
        <v>0</v>
      </c>
      <c r="R291" t="n">
        <v>0</v>
      </c>
      <c r="S291" t="n">
        <v>0</v>
      </c>
      <c r="T291" t="n">
        <v>0</v>
      </c>
      <c r="U291" s="2" t="inlineStr"/>
    </row>
    <row r="292" ht="15" customHeight="1">
      <c r="A292" t="inlineStr">
        <is>
          <t>A 51747-2023</t>
        </is>
      </c>
      <c r="B292" t="inlineStr">
        <is>
          <t>avverkningsanmälan</t>
        </is>
      </c>
      <c r="C292" t="inlineStr">
        <is>
          <t>Föryngringsavverkning</t>
        </is>
      </c>
      <c r="D292" s="1" t="n">
        <v>45222</v>
      </c>
      <c r="E292" s="1" t="n">
        <v>46220</v>
      </c>
      <c r="F292" t="inlineStr">
        <is>
          <t>SÖDERMANLANDS LÄN</t>
        </is>
      </c>
      <c r="G292" t="inlineStr">
        <is>
          <t>GNESTA</t>
        </is>
      </c>
      <c r="H292" t="inlineStr">
        <is>
          <t>Holmen skog AB</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25915-2024</t>
        </is>
      </c>
      <c r="B293" t="inlineStr">
        <is>
          <t>avverkningsanmälan</t>
        </is>
      </c>
      <c r="C293" t="inlineStr">
        <is>
          <t>Föryngringsavverkning</t>
        </is>
      </c>
      <c r="D293" s="1" t="n">
        <v>45467</v>
      </c>
      <c r="E293" s="1" t="n">
        <v>46220</v>
      </c>
      <c r="F293" t="inlineStr">
        <is>
          <t>SÖDERMANLANDS LÄN</t>
        </is>
      </c>
      <c r="G293" t="inlineStr">
        <is>
          <t>GNESTA</t>
        </is>
      </c>
      <c r="I293" t="n">
        <v>2.1</v>
      </c>
      <c r="J293" t="n">
        <v>0</v>
      </c>
      <c r="K293" t="n">
        <v>0</v>
      </c>
      <c r="L293" t="n">
        <v>0</v>
      </c>
      <c r="M293" t="n">
        <v>0</v>
      </c>
      <c r="N293" t="n">
        <v>0</v>
      </c>
      <c r="O293" t="n">
        <v>0</v>
      </c>
      <c r="P293" t="n">
        <v>0</v>
      </c>
      <c r="Q293" t="n">
        <v>0</v>
      </c>
      <c r="R293" t="n">
        <v>0</v>
      </c>
      <c r="S293" t="n">
        <v>0</v>
      </c>
      <c r="T293" t="n">
        <v>0</v>
      </c>
      <c r="U293" s="2" t="inlineStr"/>
    </row>
    <row r="294" ht="15" customHeight="1">
      <c r="A294" t="inlineStr">
        <is>
          <t>A 64-2024</t>
        </is>
      </c>
      <c r="B294" t="inlineStr">
        <is>
          <t>avverkningsanmälan</t>
        </is>
      </c>
      <c r="C294" t="inlineStr">
        <is>
          <t>Föryngringsavverkning</t>
        </is>
      </c>
      <c r="D294" s="1" t="n">
        <v>45293</v>
      </c>
      <c r="E294" s="1" t="n">
        <v>46220</v>
      </c>
      <c r="F294" t="inlineStr">
        <is>
          <t>SÖDERMANLANDS LÄN</t>
        </is>
      </c>
      <c r="G294" t="inlineStr">
        <is>
          <t>GNESTA</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55864-2023</t>
        </is>
      </c>
      <c r="B295" t="inlineStr">
        <is>
          <t>avverkningsanmälan</t>
        </is>
      </c>
      <c r="C295" t="inlineStr">
        <is>
          <t>Föryngringsavverkning</t>
        </is>
      </c>
      <c r="D295" s="1" t="n">
        <v>45239</v>
      </c>
      <c r="E295" s="1" t="n">
        <v>46220</v>
      </c>
      <c r="F295" t="inlineStr">
        <is>
          <t>SÖDERMANLANDS LÄN</t>
        </is>
      </c>
      <c r="G295" t="inlineStr">
        <is>
          <t>GNESTA</t>
        </is>
      </c>
      <c r="I295" t="n">
        <v>8</v>
      </c>
      <c r="J295" t="n">
        <v>0</v>
      </c>
      <c r="K295" t="n">
        <v>0</v>
      </c>
      <c r="L295" t="n">
        <v>0</v>
      </c>
      <c r="M295" t="n">
        <v>0</v>
      </c>
      <c r="N295" t="n">
        <v>0</v>
      </c>
      <c r="O295" t="n">
        <v>0</v>
      </c>
      <c r="P295" t="n">
        <v>0</v>
      </c>
      <c r="Q295" t="n">
        <v>0</v>
      </c>
      <c r="R295" t="n">
        <v>0</v>
      </c>
      <c r="S295" t="n">
        <v>0</v>
      </c>
      <c r="T295" t="n">
        <v>0</v>
      </c>
      <c r="U295" s="2" t="inlineStr"/>
    </row>
    <row r="296" ht="15" customHeight="1">
      <c r="A296" t="inlineStr">
        <is>
          <t>S 879-2021</t>
        </is>
      </c>
      <c r="B296" t="inlineStr">
        <is>
          <t>samrådsanmälan</t>
        </is>
      </c>
      <c r="C296" t="inlineStr">
        <is>
          <t>Åtgärd i nyckelbiotop</t>
        </is>
      </c>
      <c r="D296" s="1" t="n">
        <v>44312</v>
      </c>
      <c r="E296" s="1" t="n">
        <v>46220</v>
      </c>
      <c r="F296" t="inlineStr">
        <is>
          <t>SÖDERMANLANDS LÄN</t>
        </is>
      </c>
      <c r="G296" t="inlineStr">
        <is>
          <t>GNESTA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S 1590-2022</t>
        </is>
      </c>
      <c r="B297" t="inlineStr">
        <is>
          <t>samrådsanmälan</t>
        </is>
      </c>
      <c r="C297" t="inlineStr">
        <is>
          <t>Annan skogsbruksåtgärd</t>
        </is>
      </c>
      <c r="D297" s="1" t="n">
        <v>44644</v>
      </c>
      <c r="E297" s="1" t="n">
        <v>46220</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S 6917-2021</t>
        </is>
      </c>
      <c r="B298" t="inlineStr">
        <is>
          <t>samrådsanmälan</t>
        </is>
      </c>
      <c r="C298" t="inlineStr">
        <is>
          <t>Annan skogsbruksåtgärd</t>
        </is>
      </c>
      <c r="D298" s="1" t="n">
        <v>44462</v>
      </c>
      <c r="E298" s="1" t="n">
        <v>46220</v>
      </c>
      <c r="F298" t="inlineStr">
        <is>
          <t>SÖDERMANLANDS LÄN</t>
        </is>
      </c>
      <c r="G298" t="inlineStr">
        <is>
          <t>GNESTA</t>
        </is>
      </c>
      <c r="I298" t="n">
        <v>1.4</v>
      </c>
      <c r="J298" t="n">
        <v>0</v>
      </c>
      <c r="K298" t="n">
        <v>0</v>
      </c>
      <c r="L298" t="n">
        <v>0</v>
      </c>
      <c r="M298" t="n">
        <v>0</v>
      </c>
      <c r="N298" t="n">
        <v>0</v>
      </c>
      <c r="O298" t="n">
        <v>0</v>
      </c>
      <c r="P298" t="n">
        <v>0</v>
      </c>
      <c r="Q298" t="n">
        <v>0</v>
      </c>
      <c r="R298" t="n">
        <v>0</v>
      </c>
      <c r="S298" t="n">
        <v>0</v>
      </c>
      <c r="T298" t="n">
        <v>0</v>
      </c>
      <c r="U298" s="2" t="inlineStr"/>
    </row>
    <row r="299">
      <c r="A299" t="inlineStr">
        <is>
          <t>S 3685-2024</t>
        </is>
      </c>
      <c r="B299" t="inlineStr">
        <is>
          <t>samrådsanmälan</t>
        </is>
      </c>
      <c r="C299" t="inlineStr">
        <is>
          <t>Annan skogsbruksåtgärd</t>
        </is>
      </c>
      <c r="D299" s="1" t="n">
        <v>45552</v>
      </c>
      <c r="E299" s="1" t="n">
        <v>46220</v>
      </c>
      <c r="F299" t="inlineStr">
        <is>
          <t>SÖDERMANLANDS LÄN</t>
        </is>
      </c>
      <c r="G299" t="inlineStr">
        <is>
          <t>GNESTA</t>
        </is>
      </c>
      <c r="I299" t="n">
        <v>0.6</v>
      </c>
      <c r="J299" t="n">
        <v>0</v>
      </c>
      <c r="K299" t="n">
        <v>0</v>
      </c>
      <c r="L299" t="n">
        <v>0</v>
      </c>
      <c r="M299" t="n">
        <v>0</v>
      </c>
      <c r="N299" t="n">
        <v>0</v>
      </c>
      <c r="O299" t="n">
        <v>0</v>
      </c>
      <c r="P299" t="n">
        <v>0</v>
      </c>
      <c r="Q299" t="n">
        <v>0</v>
      </c>
      <c r="R299" t="n">
        <v>0</v>
      </c>
      <c r="S299" t="n">
        <v>0</v>
      </c>
      <c r="T299" t="n">
        <v>0</v>
      </c>
      <c r="U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2026-07-17T01:43:32Z</dcterms:created>
  <dcterms:modified xmlns:dcterms="http://purl.org/dc/terms/" xmlns:xsi="http://www.w3.org/2001/XMLSchema-instance" xsi:type="dcterms:W3CDTF">2026-07-17T01:43:32Z</dcterms:modified>
</cp:coreProperties>
</file>