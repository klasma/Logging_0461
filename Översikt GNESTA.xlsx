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46269</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46269</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46269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46269</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46269</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46269</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46269</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46269</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46269</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46269</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46269</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46269</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46269</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53063-2023</t>
        </is>
      </c>
      <c r="B16" t="inlineStr">
        <is>
          <t>avverkningsanmälan</t>
        </is>
      </c>
      <c r="C16" t="inlineStr">
        <is>
          <t>Föryngringsavverkning</t>
        </is>
      </c>
      <c r="D16" s="1" t="n">
        <v>45227</v>
      </c>
      <c r="E16" s="1" t="n">
        <v>46269</v>
      </c>
      <c r="F16" t="inlineStr">
        <is>
          <t>SÖDERMANLANDS LÄN</t>
        </is>
      </c>
      <c r="G16" t="inlineStr">
        <is>
          <t>GNESTA</t>
        </is>
      </c>
      <c r="H16" t="inlineStr">
        <is>
          <t>Allmännings- och besparingsskogar</t>
        </is>
      </c>
      <c r="I16" t="n">
        <v>2.9</v>
      </c>
      <c r="J16" t="n">
        <v>0</v>
      </c>
      <c r="K16" t="n">
        <v>0</v>
      </c>
      <c r="L16" t="n">
        <v>2</v>
      </c>
      <c r="M16" t="n">
        <v>0</v>
      </c>
      <c r="N16" t="n">
        <v>1</v>
      </c>
      <c r="O16" t="n">
        <v>0</v>
      </c>
      <c r="P16" t="n">
        <v>0</v>
      </c>
      <c r="Q16" t="n">
        <v>3</v>
      </c>
      <c r="R16" t="n">
        <v>1</v>
      </c>
      <c r="S16" t="n">
        <v>3</v>
      </c>
      <c r="T16" t="n">
        <v>4</v>
      </c>
      <c r="U16" t="n">
        <v>4</v>
      </c>
      <c r="V16" s="2" t="inlineStr">
        <is>
          <t>Brandnäva
Gullklöver
Svedjenäva</t>
        </is>
      </c>
      <c r="W16">
        <f>HYPERLINK("https://klasma.github.io/Logging_0461/artfynd/A 53063-2023 artfynd.xlsx", "A 53063-2023")</f>
        <v/>
      </c>
      <c r="X16">
        <f>HYPERLINK("https://klasma.github.io/Logging_0461/kartor/A 53063-2023 karta.png", "A 53063-2023")</f>
        <v/>
      </c>
      <c r="Y16">
        <f>HYPERLINK("https://klasma.github.io/Logging_0461/kartor_geotiff/A 53063-2023 georefererad karta.tif", "A 53063-2023")</f>
        <v/>
      </c>
      <c r="AA16">
        <f>HYPERLINK("https://klasma.github.io/Logging_0461/klagomål/A 53063-2023 FSC-klagomål.docx", "A 53063-2023")</f>
        <v/>
      </c>
      <c r="AB16">
        <f>HYPERLINK("https://klasma.github.io/Logging_0461/klagomålsmail/A 53063-2023 FSC-klagomål mail.docx", "A 53063-2023")</f>
        <v/>
      </c>
      <c r="AC16">
        <f>HYPERLINK("https://klasma.github.io/Logging_0461/tillsyn/A 53063-2023 tillsynsbegäran.docx", "A 53063-2023")</f>
        <v/>
      </c>
      <c r="AD16">
        <f>HYPERLINK("https://klasma.github.io/Logging_0461/tillsynsmail/A 53063-2023 tillsynsbegäran mail.docx", "A 53063-2023")</f>
        <v/>
      </c>
    </row>
    <row r="17" ht="15" customHeight="1">
      <c r="A17" t="inlineStr">
        <is>
          <t>A 39981-2025</t>
        </is>
      </c>
      <c r="B17" t="inlineStr">
        <is>
          <t>avverkningsanmälan</t>
        </is>
      </c>
      <c r="C17" t="inlineStr">
        <is>
          <t>Föryngringsavverkning</t>
        </is>
      </c>
      <c r="D17" s="1" t="n">
        <v>45893</v>
      </c>
      <c r="E17" s="1" t="n">
        <v>46269</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60448-2024</t>
        </is>
      </c>
      <c r="B18" t="inlineStr">
        <is>
          <t>avverkningsanmälan</t>
        </is>
      </c>
      <c r="C18" t="inlineStr">
        <is>
          <t>Föryngringsavverkning</t>
        </is>
      </c>
      <c r="D18" s="1" t="n">
        <v>45643</v>
      </c>
      <c r="E18" s="1" t="n">
        <v>46269</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46269</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29758-2022</t>
        </is>
      </c>
      <c r="B20" t="inlineStr">
        <is>
          <t>avverkningsanmälan</t>
        </is>
      </c>
      <c r="C20" t="inlineStr">
        <is>
          <t>Föryngringsavverkning</t>
        </is>
      </c>
      <c r="D20" s="1" t="n">
        <v>44755</v>
      </c>
      <c r="E20" s="1" t="n">
        <v>46269</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32252-2022</t>
        </is>
      </c>
      <c r="B21" t="inlineStr">
        <is>
          <t>avverkningsanmälan</t>
        </is>
      </c>
      <c r="C21" t="inlineStr">
        <is>
          <t>Föryngringsavverkning</t>
        </is>
      </c>
      <c r="D21" s="1" t="n">
        <v>44781</v>
      </c>
      <c r="E21" s="1" t="n">
        <v>46269</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56791-2022</t>
        </is>
      </c>
      <c r="B22" t="inlineStr">
        <is>
          <t>avverkningsanmälan</t>
        </is>
      </c>
      <c r="C22" t="inlineStr">
        <is>
          <t>Föryngringsavverkning</t>
        </is>
      </c>
      <c r="D22" s="1" t="n">
        <v>44894</v>
      </c>
      <c r="E22" s="1" t="n">
        <v>46269</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51217-2024</t>
        </is>
      </c>
      <c r="B23" t="inlineStr">
        <is>
          <t>avverkningsanmälan</t>
        </is>
      </c>
      <c r="C23" t="inlineStr">
        <is>
          <t>Föryngringsavverkning</t>
        </is>
      </c>
      <c r="D23" s="1" t="n">
        <v>45603</v>
      </c>
      <c r="E23" s="1" t="n">
        <v>46269</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59407-2025</t>
        </is>
      </c>
      <c r="B24" t="inlineStr">
        <is>
          <t>avverkningsanmälan</t>
        </is>
      </c>
      <c r="C24" t="inlineStr">
        <is>
          <t>Föryngringsavverkning</t>
        </is>
      </c>
      <c r="D24" s="1" t="n">
        <v>45989</v>
      </c>
      <c r="E24" s="1" t="n">
        <v>46269</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49442-2022</t>
        </is>
      </c>
      <c r="B25" t="inlineStr">
        <is>
          <t>avverkningsanmälan</t>
        </is>
      </c>
      <c r="C25" t="inlineStr">
        <is>
          <t>Föryngringsavverkning</t>
        </is>
      </c>
      <c r="D25" s="1" t="n">
        <v>44861</v>
      </c>
      <c r="E25" s="1" t="n">
        <v>46269</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46269</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46269</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7741-2023</t>
        </is>
      </c>
      <c r="B28" t="inlineStr">
        <is>
          <t>avverkningsanmälan</t>
        </is>
      </c>
      <c r="C28" t="inlineStr">
        <is>
          <t>Föryngringsavverkning</t>
        </is>
      </c>
      <c r="D28" s="1" t="n">
        <v>44973</v>
      </c>
      <c r="E28" s="1" t="n">
        <v>46269</v>
      </c>
      <c r="F28" t="inlineStr">
        <is>
          <t>SÖDERMANLANDS LÄN</t>
        </is>
      </c>
      <c r="G28" t="inlineStr">
        <is>
          <t>GNESTA</t>
        </is>
      </c>
      <c r="I28" t="n">
        <v>3.4</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HYPERLINK("https://klasma.github.io/Logging_0461/artfynd/A 7741-2023 artfynd.xlsx", "A 7741-2023")</f>
        <v/>
      </c>
      <c r="X28">
        <f>HYPERLINK("https://klasma.github.io/Logging_0461/kartor/A 7741-2023 karta.png", "A 7741-2023")</f>
        <v/>
      </c>
      <c r="Y28">
        <f>HYPERLINK("https://klasma.github.io/Logging_0461/kartor_geotiff/A 7741-2023 georefererad karta.tif", "A 7741-2023")</f>
        <v/>
      </c>
      <c r="AA28">
        <f>HYPERLINK("https://klasma.github.io/Logging_0461/klagomål/A 7741-2023 FSC-klagomål.docx", "A 7741-2023")</f>
        <v/>
      </c>
      <c r="AB28">
        <f>HYPERLINK("https://klasma.github.io/Logging_0461/klagomålsmail/A 7741-2023 FSC-klagomål mail.docx", "A 7741-2023")</f>
        <v/>
      </c>
      <c r="AC28">
        <f>HYPERLINK("https://klasma.github.io/Logging_0461/tillsyn/A 7741-2023 tillsynsbegäran.docx", "A 7741-2023")</f>
        <v/>
      </c>
      <c r="AD28">
        <f>HYPERLINK("https://klasma.github.io/Logging_0461/tillsynsmail/A 7741-2023 tillsynsbegäran mail.docx", "A 7741-2023")</f>
        <v/>
      </c>
    </row>
    <row r="29" ht="15" customHeight="1">
      <c r="A29" t="inlineStr">
        <is>
          <t>A 9134-2024</t>
        </is>
      </c>
      <c r="B29" t="inlineStr">
        <is>
          <t>avverkningsanmälan</t>
        </is>
      </c>
      <c r="C29" t="inlineStr">
        <is>
          <t>Föryngringsavverkning</t>
        </is>
      </c>
      <c r="D29" s="1" t="n">
        <v>45358</v>
      </c>
      <c r="E29" s="1" t="n">
        <v>46269</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6395-2023</t>
        </is>
      </c>
      <c r="B30" t="inlineStr">
        <is>
          <t>avverkningsanmälan</t>
        </is>
      </c>
      <c r="C30" t="inlineStr">
        <is>
          <t>Föryngringsavverkning</t>
        </is>
      </c>
      <c r="D30" s="1" t="n">
        <v>44965</v>
      </c>
      <c r="E30" s="1" t="n">
        <v>46269</v>
      </c>
      <c r="F30" t="inlineStr">
        <is>
          <t>SÖDERMANLANDS LÄN</t>
        </is>
      </c>
      <c r="G30" t="inlineStr">
        <is>
          <t>GNESTA</t>
        </is>
      </c>
      <c r="I30" t="n">
        <v>5.1</v>
      </c>
      <c r="J30" t="n">
        <v>0</v>
      </c>
      <c r="K30" t="n">
        <v>0</v>
      </c>
      <c r="L30" t="n">
        <v>1</v>
      </c>
      <c r="M30" t="n">
        <v>0</v>
      </c>
      <c r="N30" t="n">
        <v>0</v>
      </c>
      <c r="O30" t="n">
        <v>0</v>
      </c>
      <c r="P30" t="n">
        <v>0</v>
      </c>
      <c r="Q30" t="n">
        <v>1</v>
      </c>
      <c r="R30" t="n">
        <v>0</v>
      </c>
      <c r="S30" t="n">
        <v>1</v>
      </c>
      <c r="T30" t="n">
        <v>1</v>
      </c>
      <c r="U30" t="n">
        <v>0</v>
      </c>
      <c r="V30" s="2" t="inlineStr">
        <is>
          <t>Svinrot</t>
        </is>
      </c>
      <c r="W30">
        <f>HYPERLINK("https://klasma.github.io/Logging_0461/artfynd/A 6395-2023 artfynd.xlsx", "A 6395-2023")</f>
        <v/>
      </c>
      <c r="X30">
        <f>HYPERLINK("https://klasma.github.io/Logging_0461/kartor/A 6395-2023 karta.png", "A 6395-2023")</f>
        <v/>
      </c>
      <c r="Y30">
        <f>HYPERLINK("https://klasma.github.io/Logging_0461/kartor_geotiff/A 6395-2023 georefererad karta.tif", "A 6395-2023")</f>
        <v/>
      </c>
      <c r="AA30">
        <f>HYPERLINK("https://klasma.github.io/Logging_0461/klagomål/A 6395-2023 FSC-klagomål.docx", "A 6395-2023")</f>
        <v/>
      </c>
      <c r="AB30">
        <f>HYPERLINK("https://klasma.github.io/Logging_0461/klagomålsmail/A 6395-2023 FSC-klagomål mail.docx", "A 6395-2023")</f>
        <v/>
      </c>
      <c r="AC30">
        <f>HYPERLINK("https://klasma.github.io/Logging_0461/tillsyn/A 6395-2023 tillsynsbegäran.docx", "A 6395-2023")</f>
        <v/>
      </c>
      <c r="AD30">
        <f>HYPERLINK("https://klasma.github.io/Logging_0461/tillsynsmail/A 6395-2023 tillsynsbegäran mail.docx", "A 6395-2023")</f>
        <v/>
      </c>
    </row>
    <row r="31" ht="15" customHeight="1">
      <c r="A31" t="inlineStr">
        <is>
          <t>A 7794-2023</t>
        </is>
      </c>
      <c r="B31" t="inlineStr">
        <is>
          <t>avverkningsanmälan</t>
        </is>
      </c>
      <c r="C31" t="inlineStr">
        <is>
          <t>Föryngringsavverkning</t>
        </is>
      </c>
      <c r="D31" s="1" t="n">
        <v>44973</v>
      </c>
      <c r="E31" s="1" t="n">
        <v>46269</v>
      </c>
      <c r="F31" t="inlineStr">
        <is>
          <t>SÖDERMANLANDS LÄN</t>
        </is>
      </c>
      <c r="G31" t="inlineStr">
        <is>
          <t>GNESTA</t>
        </is>
      </c>
      <c r="I31" t="n">
        <v>10.2</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HYPERLINK("https://klasma.github.io/Logging_0461/artfynd/A 7794-2023 artfynd.xlsx", "A 7794-2023")</f>
        <v/>
      </c>
      <c r="X31">
        <f>HYPERLINK("https://klasma.github.io/Logging_0461/kartor/A 7794-2023 karta.png", "A 7794-2023")</f>
        <v/>
      </c>
      <c r="Y31">
        <f>HYPERLINK("https://klasma.github.io/Logging_0461/kartor_geotiff/A 7794-2023 georefererad karta.tif", "A 7794-2023")</f>
        <v/>
      </c>
      <c r="AA31">
        <f>HYPERLINK("https://klasma.github.io/Logging_0461/klagomål/A 7794-2023 FSC-klagomål.docx", "A 7794-2023")</f>
        <v/>
      </c>
      <c r="AB31">
        <f>HYPERLINK("https://klasma.github.io/Logging_0461/klagomålsmail/A 7794-2023 FSC-klagomål mail.docx", "A 7794-2023")</f>
        <v/>
      </c>
      <c r="AC31">
        <f>HYPERLINK("https://klasma.github.io/Logging_0461/tillsyn/A 7794-2023 tillsynsbegäran.docx", "A 7794-2023")</f>
        <v/>
      </c>
      <c r="AD31">
        <f>HYPERLINK("https://klasma.github.io/Logging_0461/tillsynsmail/A 7794-2023 tillsynsbegäran mail.docx", "A 7794-2023")</f>
        <v/>
      </c>
    </row>
    <row r="32" ht="15" customHeight="1">
      <c r="A32" t="inlineStr">
        <is>
          <t>A 33825-2022</t>
        </is>
      </c>
      <c r="B32" t="inlineStr">
        <is>
          <t>avverkningsanmälan</t>
        </is>
      </c>
      <c r="C32" t="inlineStr">
        <is>
          <t>Föryngringsavverkning</t>
        </is>
      </c>
      <c r="D32" s="1" t="n">
        <v>44790</v>
      </c>
      <c r="E32" s="1" t="n">
        <v>46269</v>
      </c>
      <c r="F32" t="inlineStr">
        <is>
          <t>SÖDERMANLANDS LÄN</t>
        </is>
      </c>
      <c r="G32" t="inlineStr">
        <is>
          <t>GNESTA</t>
        </is>
      </c>
      <c r="I32" t="n">
        <v>5.7</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HYPERLINK("https://klasma.github.io/Logging_0461/artfynd/A 33825-2022 artfynd.xlsx", "A 33825-2022")</f>
        <v/>
      </c>
      <c r="X32">
        <f>HYPERLINK("https://klasma.github.io/Logging_0461/kartor/A 33825-2022 karta.png", "A 33825-2022")</f>
        <v/>
      </c>
      <c r="Y32">
        <f>HYPERLINK("https://klasma.github.io/Logging_0461/kartor_geotiff/A 33825-2022 georefererad karta.tif", "A 33825-2022")</f>
        <v/>
      </c>
      <c r="AA32">
        <f>HYPERLINK("https://klasma.github.io/Logging_0461/klagomål/A 33825-2022 FSC-klagomål.docx", "A 33825-2022")</f>
        <v/>
      </c>
      <c r="AB32">
        <f>HYPERLINK("https://klasma.github.io/Logging_0461/klagomålsmail/A 33825-2022 FSC-klagomål mail.docx", "A 33825-2022")</f>
        <v/>
      </c>
      <c r="AC32">
        <f>HYPERLINK("https://klasma.github.io/Logging_0461/tillsyn/A 33825-2022 tillsynsbegäran.docx", "A 33825-2022")</f>
        <v/>
      </c>
      <c r="AD32">
        <f>HYPERLINK("https://klasma.github.io/Logging_0461/tillsynsmail/A 33825-2022 tillsynsbegäran mail.docx", "A 33825-2022")</f>
        <v/>
      </c>
    </row>
    <row r="33" ht="15" customHeight="1">
      <c r="A33" t="inlineStr">
        <is>
          <t>A 7681-2023</t>
        </is>
      </c>
      <c r="B33" t="inlineStr">
        <is>
          <t>avverkningsanmälan</t>
        </is>
      </c>
      <c r="C33" t="inlineStr">
        <is>
          <t>Föryngringsavverkning</t>
        </is>
      </c>
      <c r="D33" s="1" t="n">
        <v>44972</v>
      </c>
      <c r="E33" s="1" t="n">
        <v>46269</v>
      </c>
      <c r="F33" t="inlineStr">
        <is>
          <t>SÖDERMANLANDS LÄN</t>
        </is>
      </c>
      <c r="G33" t="inlineStr">
        <is>
          <t>GNESTA</t>
        </is>
      </c>
      <c r="I33" t="n">
        <v>2.3</v>
      </c>
      <c r="J33" t="n">
        <v>0</v>
      </c>
      <c r="K33" t="n">
        <v>0</v>
      </c>
      <c r="L33" t="n">
        <v>1</v>
      </c>
      <c r="M33" t="n">
        <v>0</v>
      </c>
      <c r="N33" t="n">
        <v>0</v>
      </c>
      <c r="O33" t="n">
        <v>0</v>
      </c>
      <c r="P33" t="n">
        <v>0</v>
      </c>
      <c r="Q33" t="n">
        <v>1</v>
      </c>
      <c r="R33" t="n">
        <v>0</v>
      </c>
      <c r="S33" t="n">
        <v>1</v>
      </c>
      <c r="T33" t="n">
        <v>1</v>
      </c>
      <c r="U33" t="n">
        <v>1</v>
      </c>
      <c r="V33" s="2" t="inlineStr">
        <is>
          <t>Gullklöver</t>
        </is>
      </c>
      <c r="W33">
        <f>HYPERLINK("https://klasma.github.io/Logging_0461/artfynd/A 7681-2023 artfynd.xlsx", "A 7681-2023")</f>
        <v/>
      </c>
      <c r="X33">
        <f>HYPERLINK("https://klasma.github.io/Logging_0461/kartor/A 7681-2023 karta.png", "A 7681-2023")</f>
        <v/>
      </c>
      <c r="Y33">
        <f>HYPERLINK("https://klasma.github.io/Logging_0461/kartor_geotiff/A 7681-2023 georefererad karta.tif", "A 7681-2023")</f>
        <v/>
      </c>
      <c r="AA33">
        <f>HYPERLINK("https://klasma.github.io/Logging_0461/klagomål/A 7681-2023 FSC-klagomål.docx", "A 7681-2023")</f>
        <v/>
      </c>
      <c r="AB33">
        <f>HYPERLINK("https://klasma.github.io/Logging_0461/klagomålsmail/A 7681-2023 FSC-klagomål mail.docx", "A 7681-2023")</f>
        <v/>
      </c>
      <c r="AC33">
        <f>HYPERLINK("https://klasma.github.io/Logging_0461/tillsyn/A 7681-2023 tillsynsbegäran.docx", "A 7681-2023")</f>
        <v/>
      </c>
      <c r="AD33">
        <f>HYPERLINK("https://klasma.github.io/Logging_0461/tillsynsmail/A 7681-2023 tillsynsbegäran mail.docx", "A 7681-2023")</f>
        <v/>
      </c>
    </row>
    <row r="34" ht="15" customHeight="1">
      <c r="A34" t="inlineStr">
        <is>
          <t>A 43246-2024</t>
        </is>
      </c>
      <c r="B34" t="inlineStr">
        <is>
          <t>avverkningsanmälan</t>
        </is>
      </c>
      <c r="C34" t="inlineStr">
        <is>
          <t>Föryngringsavverkning</t>
        </is>
      </c>
      <c r="D34" s="1" t="n">
        <v>45568</v>
      </c>
      <c r="E34" s="1" t="n">
        <v>46269</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9303-2023</t>
        </is>
      </c>
      <c r="B35" t="inlineStr">
        <is>
          <t>avverkningsanmälan</t>
        </is>
      </c>
      <c r="C35" t="inlineStr">
        <is>
          <t>Föryngringsavverkning</t>
        </is>
      </c>
      <c r="D35" s="1" t="n">
        <v>44980</v>
      </c>
      <c r="E35" s="1" t="n">
        <v>46269</v>
      </c>
      <c r="F35" t="inlineStr">
        <is>
          <t>SÖDERMANLANDS LÄN</t>
        </is>
      </c>
      <c r="G35" t="inlineStr">
        <is>
          <t>GNESTA</t>
        </is>
      </c>
      <c r="I35" t="n">
        <v>0.7</v>
      </c>
      <c r="J35" t="n">
        <v>0</v>
      </c>
      <c r="K35" t="n">
        <v>1</v>
      </c>
      <c r="L35" t="n">
        <v>0</v>
      </c>
      <c r="M35" t="n">
        <v>0</v>
      </c>
      <c r="N35" t="n">
        <v>0</v>
      </c>
      <c r="O35" t="n">
        <v>0</v>
      </c>
      <c r="P35" t="n">
        <v>0</v>
      </c>
      <c r="Q35" t="n">
        <v>0</v>
      </c>
      <c r="R35" t="n">
        <v>0</v>
      </c>
      <c r="S35" t="n">
        <v>1</v>
      </c>
      <c r="T35" t="n">
        <v>1</v>
      </c>
      <c r="U35" t="n">
        <v>1</v>
      </c>
      <c r="V35" s="2" t="inlineStr">
        <is>
          <t>Zontaggsvamp</t>
        </is>
      </c>
      <c r="W35">
        <f>HYPERLINK("https://klasma.github.io/Logging_0461/artfynd/A 9303-2023 artfynd.xlsx", "A 9303-2023")</f>
        <v/>
      </c>
      <c r="X35">
        <f>HYPERLINK("https://klasma.github.io/Logging_0461/kartor/A 9303-2023 karta.png", "A 9303-2023")</f>
        <v/>
      </c>
      <c r="Y35">
        <f>HYPERLINK("https://klasma.github.io/Logging_0461/kartor_geotiff/A 9303-2023 georefererad karta.tif", "A 9303-2023")</f>
        <v/>
      </c>
      <c r="AA35">
        <f>HYPERLINK("https://klasma.github.io/Logging_0461/klagomål/A 9303-2023 FSC-klagomål.docx", "A 9303-2023")</f>
        <v/>
      </c>
      <c r="AB35">
        <f>HYPERLINK("https://klasma.github.io/Logging_0461/klagomålsmail/A 9303-2023 FSC-klagomål mail.docx", "A 9303-2023")</f>
        <v/>
      </c>
      <c r="AC35">
        <f>HYPERLINK("https://klasma.github.io/Logging_0461/tillsyn/A 9303-2023 tillsynsbegäran.docx", "A 9303-2023")</f>
        <v/>
      </c>
      <c r="AD35">
        <f>HYPERLINK("https://klasma.github.io/Logging_0461/tillsynsmail/A 9303-2023 tillsynsbegäran mail.docx", "A 9303-2023")</f>
        <v/>
      </c>
    </row>
    <row r="36" ht="15" customHeight="1">
      <c r="A36" t="inlineStr">
        <is>
          <t>A 2012-2022</t>
        </is>
      </c>
      <c r="B36" t="inlineStr">
        <is>
          <t>avverkningsanmälan</t>
        </is>
      </c>
      <c r="C36" t="inlineStr">
        <is>
          <t>Föryngringsavverkning</t>
        </is>
      </c>
      <c r="D36" s="1" t="n">
        <v>44575</v>
      </c>
      <c r="E36" s="1" t="n">
        <v>46269</v>
      </c>
      <c r="F36" t="inlineStr">
        <is>
          <t>SÖDERMANLANDS LÄN</t>
        </is>
      </c>
      <c r="G36" t="inlineStr">
        <is>
          <t>GNESTA</t>
        </is>
      </c>
      <c r="I36" t="n">
        <v>5.3</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HYPERLINK("https://klasma.github.io/Logging_0461/artfynd/A 2012-2022 artfynd.xlsx", "A 2012-2022")</f>
        <v/>
      </c>
      <c r="X36">
        <f>HYPERLINK("https://klasma.github.io/Logging_0461/kartor/A 2012-2022 karta.png", "A 2012-2022")</f>
        <v/>
      </c>
      <c r="Y36">
        <f>HYPERLINK("https://klasma.github.io/Logging_0461/kartor_geotiff/A 2012-2022 georefererad karta.tif", "A 2012-2022")</f>
        <v/>
      </c>
      <c r="AA36">
        <f>HYPERLINK("https://klasma.github.io/Logging_0461/klagomål/A 2012-2022 FSC-klagomål.docx", "A 2012-2022")</f>
        <v/>
      </c>
      <c r="AB36">
        <f>HYPERLINK("https://klasma.github.io/Logging_0461/klagomålsmail/A 2012-2022 FSC-klagomål mail.docx", "A 2012-2022")</f>
        <v/>
      </c>
      <c r="AC36">
        <f>HYPERLINK("https://klasma.github.io/Logging_0461/tillsyn/A 2012-2022 tillsynsbegäran.docx", "A 2012-2022")</f>
        <v/>
      </c>
      <c r="AD36">
        <f>HYPERLINK("https://klasma.github.io/Logging_0461/tillsynsmail/A 2012-2022 tillsynsbegäran mail.docx", "A 2012-2022")</f>
        <v/>
      </c>
    </row>
    <row r="37" ht="15" customHeight="1">
      <c r="A37" t="inlineStr">
        <is>
          <t>A 62007-2022</t>
        </is>
      </c>
      <c r="B37" t="inlineStr">
        <is>
          <t>avverkningsanmälan</t>
        </is>
      </c>
      <c r="C37" t="inlineStr">
        <is>
          <t>Föryngringsavverkning</t>
        </is>
      </c>
      <c r="D37" s="1" t="n">
        <v>44918</v>
      </c>
      <c r="E37" s="1" t="n">
        <v>46269</v>
      </c>
      <c r="F37" t="inlineStr">
        <is>
          <t>SÖDERMANLANDS LÄN</t>
        </is>
      </c>
      <c r="G37" t="inlineStr">
        <is>
          <t>GNESTA</t>
        </is>
      </c>
      <c r="H37" t="inlineStr">
        <is>
          <t>Kommuner</t>
        </is>
      </c>
      <c r="I37" t="n">
        <v>0.6</v>
      </c>
      <c r="J37" t="n">
        <v>0</v>
      </c>
      <c r="K37" t="n">
        <v>0</v>
      </c>
      <c r="L37" t="n">
        <v>1</v>
      </c>
      <c r="M37" t="n">
        <v>0</v>
      </c>
      <c r="N37" t="n">
        <v>0</v>
      </c>
      <c r="O37" t="n">
        <v>0</v>
      </c>
      <c r="P37" t="n">
        <v>0</v>
      </c>
      <c r="Q37" t="n">
        <v>1</v>
      </c>
      <c r="R37" t="n">
        <v>0</v>
      </c>
      <c r="S37" t="n">
        <v>1</v>
      </c>
      <c r="T37" t="n">
        <v>1</v>
      </c>
      <c r="U37" t="n">
        <v>0</v>
      </c>
      <c r="V37" s="2" t="inlineStr">
        <is>
          <t>Orange taggsvamp</t>
        </is>
      </c>
      <c r="W37">
        <f>HYPERLINK("https://klasma.github.io/Logging_0461/artfynd/A 62007-2022 artfynd.xlsx", "A 62007-2022")</f>
        <v/>
      </c>
      <c r="X37">
        <f>HYPERLINK("https://klasma.github.io/Logging_0461/kartor/A 62007-2022 karta.png", "A 62007-2022")</f>
        <v/>
      </c>
      <c r="Y37">
        <f>HYPERLINK("https://klasma.github.io/Logging_0461/kartor_geotiff/A 62007-2022 georefererad karta.tif", "A 62007-2022")</f>
        <v/>
      </c>
      <c r="AA37">
        <f>HYPERLINK("https://klasma.github.io/Logging_0461/klagomål/A 62007-2022 FSC-klagomål.docx", "A 62007-2022")</f>
        <v/>
      </c>
      <c r="AB37">
        <f>HYPERLINK("https://klasma.github.io/Logging_0461/klagomålsmail/A 62007-2022 FSC-klagomål mail.docx", "A 62007-2022")</f>
        <v/>
      </c>
      <c r="AC37">
        <f>HYPERLINK("https://klasma.github.io/Logging_0461/tillsyn/A 62007-2022 tillsynsbegäran.docx", "A 62007-2022")</f>
        <v/>
      </c>
      <c r="AD37">
        <f>HYPERLINK("https://klasma.github.io/Logging_0461/tillsynsmail/A 62007-2022 tillsynsbegäran mail.docx", "A 62007-2022")</f>
        <v/>
      </c>
    </row>
    <row r="38" ht="15" customHeight="1">
      <c r="A38" t="inlineStr">
        <is>
          <t>A 65082-2023</t>
        </is>
      </c>
      <c r="B38" t="inlineStr">
        <is>
          <t>avverkningsanmälan</t>
        </is>
      </c>
      <c r="C38" t="inlineStr">
        <is>
          <t>Föryngringsavverkning</t>
        </is>
      </c>
      <c r="D38" s="1" t="n">
        <v>45288</v>
      </c>
      <c r="E38" s="1" t="n">
        <v>46269</v>
      </c>
      <c r="F38" t="inlineStr">
        <is>
          <t>SÖDERMANLANDS LÄN</t>
        </is>
      </c>
      <c r="G38" t="inlineStr">
        <is>
          <t>GNESTA</t>
        </is>
      </c>
      <c r="I38" t="n">
        <v>1.9</v>
      </c>
      <c r="J38" t="n">
        <v>0</v>
      </c>
      <c r="K38" t="n">
        <v>0</v>
      </c>
      <c r="L38" t="n">
        <v>1</v>
      </c>
      <c r="M38" t="n">
        <v>0</v>
      </c>
      <c r="N38" t="n">
        <v>0</v>
      </c>
      <c r="O38" t="n">
        <v>0</v>
      </c>
      <c r="P38" t="n">
        <v>0</v>
      </c>
      <c r="Q38" t="n">
        <v>1</v>
      </c>
      <c r="R38" t="n">
        <v>0</v>
      </c>
      <c r="S38" t="n">
        <v>1</v>
      </c>
      <c r="T38" t="n">
        <v>3</v>
      </c>
      <c r="U38" t="n">
        <v>0</v>
      </c>
      <c r="V38" s="2" t="inlineStr">
        <is>
          <t>Svedjenäva</t>
        </is>
      </c>
      <c r="W38">
        <f>HYPERLINK("https://klasma.github.io/Logging_0461/artfynd/A 65082-2023 artfynd.xlsx", "A 65082-2023")</f>
        <v/>
      </c>
      <c r="X38">
        <f>HYPERLINK("https://klasma.github.io/Logging_0461/kartor/A 65082-2023 karta.png", "A 65082-2023")</f>
        <v/>
      </c>
      <c r="Y38">
        <f>HYPERLINK("https://klasma.github.io/Logging_0461/kartor_geotiff/A 65082-2023 georefererad karta.tif", "A 65082-2023")</f>
        <v/>
      </c>
      <c r="AA38">
        <f>HYPERLINK("https://klasma.github.io/Logging_0461/klagomål/A 65082-2023 FSC-klagomål.docx", "A 65082-2023")</f>
        <v/>
      </c>
      <c r="AB38">
        <f>HYPERLINK("https://klasma.github.io/Logging_0461/klagomålsmail/A 65082-2023 FSC-klagomål mail.docx", "A 65082-2023")</f>
        <v/>
      </c>
      <c r="AC38">
        <f>HYPERLINK("https://klasma.github.io/Logging_0461/tillsyn/A 65082-2023 tillsynsbegäran.docx", "A 65082-2023")</f>
        <v/>
      </c>
      <c r="AD38">
        <f>HYPERLINK("https://klasma.github.io/Logging_0461/tillsynsmail/A 65082-2023 tillsynsbegäran mail.docx", "A 65082-2023")</f>
        <v/>
      </c>
    </row>
    <row r="39" ht="15" customHeight="1">
      <c r="A39" t="inlineStr">
        <is>
          <t>A 39433-2024</t>
        </is>
      </c>
      <c r="B39" t="inlineStr">
        <is>
          <t>avverkningsanmälan</t>
        </is>
      </c>
      <c r="C39" t="inlineStr">
        <is>
          <t>Föryngringsavverkning</t>
        </is>
      </c>
      <c r="D39" s="1" t="n">
        <v>45551</v>
      </c>
      <c r="E39" s="1" t="n">
        <v>46269</v>
      </c>
      <c r="F39" t="inlineStr">
        <is>
          <t>SÖDERMANLANDS LÄN</t>
        </is>
      </c>
      <c r="G39" t="inlineStr">
        <is>
          <t>GNESTA</t>
        </is>
      </c>
      <c r="I39" t="n">
        <v>1.3</v>
      </c>
      <c r="J39" t="n">
        <v>1</v>
      </c>
      <c r="K39" t="n">
        <v>1</v>
      </c>
      <c r="L39" t="n">
        <v>0</v>
      </c>
      <c r="M39" t="n">
        <v>0</v>
      </c>
      <c r="N39" t="n">
        <v>0</v>
      </c>
      <c r="O39" t="n">
        <v>0</v>
      </c>
      <c r="P39" t="n">
        <v>0</v>
      </c>
      <c r="Q39" t="n">
        <v>0</v>
      </c>
      <c r="R39" t="n">
        <v>0</v>
      </c>
      <c r="S39" t="n">
        <v>1</v>
      </c>
      <c r="T39" t="n">
        <v>1</v>
      </c>
      <c r="U39" t="n">
        <v>0</v>
      </c>
      <c r="V39" s="2" t="inlineStr">
        <is>
          <t>Grön sköldmossa</t>
        </is>
      </c>
      <c r="W39">
        <f>HYPERLINK("https://klasma.github.io/Logging_0461/artfynd/A 39433-2024 artfynd.xlsx", "A 39433-2024")</f>
        <v/>
      </c>
      <c r="X39">
        <f>HYPERLINK("https://klasma.github.io/Logging_0461/kartor/A 39433-2024 karta.png", "A 39433-2024")</f>
        <v/>
      </c>
      <c r="Y39">
        <f>HYPERLINK("https://klasma.github.io/Logging_0461/kartor_geotiff/A 39433-2024 georefererad karta.tif", "A 39433-2024")</f>
        <v/>
      </c>
      <c r="AA39">
        <f>HYPERLINK("https://klasma.github.io/Logging_0461/klagomål/A 39433-2024 FSC-klagomål.docx", "A 39433-2024")</f>
        <v/>
      </c>
      <c r="AB39">
        <f>HYPERLINK("https://klasma.github.io/Logging_0461/klagomålsmail/A 39433-2024 FSC-klagomål mail.docx", "A 39433-2024")</f>
        <v/>
      </c>
      <c r="AC39">
        <f>HYPERLINK("https://klasma.github.io/Logging_0461/tillsyn/A 39433-2024 tillsynsbegäran.docx", "A 39433-2024")</f>
        <v/>
      </c>
      <c r="AD39">
        <f>HYPERLINK("https://klasma.github.io/Logging_0461/tillsynsmail/A 39433-2024 tillsynsbegäran mail.docx", "A 39433-2024")</f>
        <v/>
      </c>
    </row>
    <row r="40" ht="15" customHeight="1">
      <c r="A40" t="inlineStr">
        <is>
          <t>A 38379-2024</t>
        </is>
      </c>
      <c r="B40" t="inlineStr">
        <is>
          <t>avverkningsanmälan</t>
        </is>
      </c>
      <c r="C40" t="inlineStr">
        <is>
          <t>Avverkning för annat ändamål</t>
        </is>
      </c>
      <c r="D40" s="1" t="n">
        <v>45546</v>
      </c>
      <c r="E40" s="1" t="n">
        <v>46269</v>
      </c>
      <c r="F40" t="inlineStr">
        <is>
          <t>SÖDERMANLANDS LÄN</t>
        </is>
      </c>
      <c r="G40" t="inlineStr">
        <is>
          <t>GNESTA</t>
        </is>
      </c>
      <c r="I40" t="n">
        <v>1</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HYPERLINK("https://klasma.github.io/Logging_0461/artfynd/A 38379-2024 artfynd.xlsx", "A 38379-2024")</f>
        <v/>
      </c>
      <c r="X40">
        <f>HYPERLINK("https://klasma.github.io/Logging_0461/kartor/A 38379-2024 karta.png", "A 38379-2024")</f>
        <v/>
      </c>
      <c r="Y40">
        <f>HYPERLINK("https://klasma.github.io/Logging_0461/kartor_geotiff/A 38379-2024 georefererad karta.tif", "A 38379-2024")</f>
        <v/>
      </c>
      <c r="AA40">
        <f>HYPERLINK("https://klasma.github.io/Logging_0461/klagomål/A 38379-2024 FSC-klagomål.docx", "A 38379-2024")</f>
        <v/>
      </c>
      <c r="AB40">
        <f>HYPERLINK("https://klasma.github.io/Logging_0461/klagomålsmail/A 38379-2024 FSC-klagomål mail.docx", "A 38379-2024")</f>
        <v/>
      </c>
      <c r="AC40">
        <f>HYPERLINK("https://klasma.github.io/Logging_0461/tillsyn/A 38379-2024 tillsynsbegäran.docx", "A 38379-2024")</f>
        <v/>
      </c>
      <c r="AD40">
        <f>HYPERLINK("https://klasma.github.io/Logging_0461/tillsynsmail/A 38379-2024 tillsynsbegäran mail.docx", "A 38379-2024")</f>
        <v/>
      </c>
    </row>
    <row r="41" ht="15" customHeight="1">
      <c r="A41" t="inlineStr">
        <is>
          <t>A 42552-2023</t>
        </is>
      </c>
      <c r="B41" t="inlineStr">
        <is>
          <t>avverkningsanmälan</t>
        </is>
      </c>
      <c r="C41" t="inlineStr">
        <is>
          <t>Föryngringsavverkning</t>
        </is>
      </c>
      <c r="D41" s="1" t="n">
        <v>45181</v>
      </c>
      <c r="E41" s="1" t="n">
        <v>46269</v>
      </c>
      <c r="F41" t="inlineStr">
        <is>
          <t>SÖDERMANLANDS LÄN</t>
        </is>
      </c>
      <c r="G41" t="inlineStr">
        <is>
          <t>GNESTA</t>
        </is>
      </c>
      <c r="H41" t="inlineStr">
        <is>
          <t>Holmen skog AB</t>
        </is>
      </c>
      <c r="I41" t="n">
        <v>3.6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42552-2023 artfynd.xlsx", "A 42552-2023")</f>
        <v/>
      </c>
      <c r="X41">
        <f>HYPERLINK("https://klasma.github.io/Logging_0461/kartor/A 42552-2023 karta.png", "A 42552-2023")</f>
        <v/>
      </c>
      <c r="Y41">
        <f>HYPERLINK("https://klasma.github.io/Logging_0461/kartor_geotiff/A 42552-2023 georefererad karta.tif", "A 42552-2023")</f>
        <v/>
      </c>
      <c r="AA41">
        <f>HYPERLINK("https://klasma.github.io/Logging_0461/klagomål/A 42552-2023 FSC-klagomål.docx", "A 42552-2023")</f>
        <v/>
      </c>
      <c r="AB41">
        <f>HYPERLINK("https://klasma.github.io/Logging_0461/klagomålsmail/A 42552-2023 FSC-klagomål mail.docx", "A 42552-2023")</f>
        <v/>
      </c>
      <c r="AC41">
        <f>HYPERLINK("https://klasma.github.io/Logging_0461/tillsyn/A 42552-2023 tillsynsbegäran.docx", "A 42552-2023")</f>
        <v/>
      </c>
      <c r="AD41">
        <f>HYPERLINK("https://klasma.github.io/Logging_0461/tillsynsmail/A 42552-2023 tillsynsbegäran mail.docx", "A 42552-2023")</f>
        <v/>
      </c>
    </row>
    <row r="42" ht="15" customHeight="1">
      <c r="A42" t="inlineStr">
        <is>
          <t>A 50242-2025</t>
        </is>
      </c>
      <c r="B42" t="inlineStr">
        <is>
          <t>avverkningsanmälan</t>
        </is>
      </c>
      <c r="C42" t="inlineStr">
        <is>
          <t>Föryngringsavverkning</t>
        </is>
      </c>
      <c r="D42" s="1" t="n">
        <v>45943</v>
      </c>
      <c r="E42" s="1" t="n">
        <v>46269</v>
      </c>
      <c r="F42" t="inlineStr">
        <is>
          <t>SÖDERMANLANDS LÄN</t>
        </is>
      </c>
      <c r="G42" t="inlineStr">
        <is>
          <t>GNESTA</t>
        </is>
      </c>
      <c r="I42" t="n">
        <v>8.9</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HYPERLINK("https://klasma.github.io/Logging_0461/artfynd/A 50242-2025 artfynd.xlsx", "A 50242-2025")</f>
        <v/>
      </c>
      <c r="X42">
        <f>HYPERLINK("https://klasma.github.io/Logging_0461/kartor/A 50242-2025 karta.png", "A 50242-2025")</f>
        <v/>
      </c>
      <c r="Y42">
        <f>HYPERLINK("https://klasma.github.io/Logging_0461/kartor_geotiff/A 50242-2025 georefererad karta.tif", "A 50242-2025")</f>
        <v/>
      </c>
      <c r="AA42">
        <f>HYPERLINK("https://klasma.github.io/Logging_0461/klagomål/A 50242-2025 FSC-klagomål.docx", "A 50242-2025")</f>
        <v/>
      </c>
      <c r="AB42">
        <f>HYPERLINK("https://klasma.github.io/Logging_0461/klagomålsmail/A 50242-2025 FSC-klagomål mail.docx", "A 50242-2025")</f>
        <v/>
      </c>
      <c r="AC42">
        <f>HYPERLINK("https://klasma.github.io/Logging_0461/tillsyn/A 50242-2025 tillsynsbegäran.docx", "A 50242-2025")</f>
        <v/>
      </c>
      <c r="AD42">
        <f>HYPERLINK("https://klasma.github.io/Logging_0461/tillsynsmail/A 50242-2025 tillsynsbegäran mail.docx", "A 50242-2025")</f>
        <v/>
      </c>
    </row>
    <row r="43" ht="15" customHeight="1">
      <c r="A43" t="inlineStr">
        <is>
          <t>A 62018-2022</t>
        </is>
      </c>
      <c r="B43" t="inlineStr">
        <is>
          <t>avverkningsanmälan</t>
        </is>
      </c>
      <c r="C43" t="inlineStr">
        <is>
          <t>Föryngringsavverkning</t>
        </is>
      </c>
      <c r="D43" s="1" t="n">
        <v>44918</v>
      </c>
      <c r="E43" s="1" t="n">
        <v>46269</v>
      </c>
      <c r="F43" t="inlineStr">
        <is>
          <t>SÖDERMANLANDS LÄN</t>
        </is>
      </c>
      <c r="G43" t="inlineStr">
        <is>
          <t>GNESTA</t>
        </is>
      </c>
      <c r="H43" t="inlineStr">
        <is>
          <t>Kommuner</t>
        </is>
      </c>
      <c r="I43" t="n">
        <v>8.1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HYPERLINK("https://klasma.github.io/Logging_0461/artfynd/A 62018-2022 artfynd.xlsx", "A 62018-2022")</f>
        <v/>
      </c>
      <c r="X43">
        <f>HYPERLINK("https://klasma.github.io/Logging_0461/kartor/A 62018-2022 karta.png", "A 62018-2022")</f>
        <v/>
      </c>
      <c r="Y43">
        <f>HYPERLINK("https://klasma.github.io/Logging_0461/kartor_geotiff/A 62018-2022 georefererad karta.tif", "A 62018-2022")</f>
        <v/>
      </c>
      <c r="AA43">
        <f>HYPERLINK("https://klasma.github.io/Logging_0461/klagomål/A 62018-2022 FSC-klagomål.docx", "A 62018-2022")</f>
        <v/>
      </c>
      <c r="AB43">
        <f>HYPERLINK("https://klasma.github.io/Logging_0461/klagomålsmail/A 62018-2022 FSC-klagomål mail.docx", "A 62018-2022")</f>
        <v/>
      </c>
      <c r="AC43">
        <f>HYPERLINK("https://klasma.github.io/Logging_0461/tillsyn/A 62018-2022 tillsynsbegäran.docx", "A 62018-2022")</f>
        <v/>
      </c>
      <c r="AD43">
        <f>HYPERLINK("https://klasma.github.io/Logging_0461/tillsynsmail/A 62018-2022 tillsynsbegäran mail.docx", "A 62018-2022")</f>
        <v/>
      </c>
    </row>
    <row r="44" ht="15" customHeight="1">
      <c r="A44" t="inlineStr">
        <is>
          <t>A 10550-2026</t>
        </is>
      </c>
      <c r="B44" t="inlineStr">
        <is>
          <t>avverkningsanmälan</t>
        </is>
      </c>
      <c r="C44" t="inlineStr">
        <is>
          <t>Föryngringsavverkning</t>
        </is>
      </c>
      <c r="D44" s="1" t="n">
        <v>46077</v>
      </c>
      <c r="E44" s="1" t="n">
        <v>46269</v>
      </c>
      <c r="F44" t="inlineStr">
        <is>
          <t>SÖDERMANLANDS LÄN</t>
        </is>
      </c>
      <c r="G44" t="inlineStr">
        <is>
          <t>GNESTA</t>
        </is>
      </c>
      <c r="H44" t="inlineStr">
        <is>
          <t>Övriga Aktiebolag</t>
        </is>
      </c>
      <c r="I44" t="n">
        <v>3.8</v>
      </c>
      <c r="J44" t="n">
        <v>0</v>
      </c>
      <c r="K44" t="n">
        <v>0</v>
      </c>
      <c r="L44" t="n">
        <v>1</v>
      </c>
      <c r="M44" t="n">
        <v>0</v>
      </c>
      <c r="N44" t="n">
        <v>0</v>
      </c>
      <c r="O44" t="n">
        <v>0</v>
      </c>
      <c r="P44" t="n">
        <v>0</v>
      </c>
      <c r="Q44" t="n">
        <v>1</v>
      </c>
      <c r="R44" t="n">
        <v>0</v>
      </c>
      <c r="S44" t="n">
        <v>1</v>
      </c>
      <c r="T44" t="n">
        <v>1</v>
      </c>
      <c r="U44" t="n">
        <v>0</v>
      </c>
      <c r="V44" s="2" t="inlineStr">
        <is>
          <t>Svedjenäva</t>
        </is>
      </c>
      <c r="W44">
        <f>HYPERLINK("https://klasma.github.io/Logging_0461/artfynd/A 10550-2026 artfynd.xlsx", "A 10550-2026")</f>
        <v/>
      </c>
      <c r="X44">
        <f>HYPERLINK("https://klasma.github.io/Logging_0461/kartor/A 10550-2026 karta.png", "A 10550-2026")</f>
        <v/>
      </c>
      <c r="Y44">
        <f>HYPERLINK("https://klasma.github.io/Logging_0461/kartor_geotiff/A 10550-2026 georefererad karta.tif", "A 10550-2026")</f>
        <v/>
      </c>
      <c r="AA44">
        <f>HYPERLINK("https://klasma.github.io/Logging_0461/klagomål/A 10550-2026 FSC-klagomål.docx", "A 10550-2026")</f>
        <v/>
      </c>
      <c r="AB44">
        <f>HYPERLINK("https://klasma.github.io/Logging_0461/klagomålsmail/A 10550-2026 FSC-klagomål mail.docx", "A 10550-2026")</f>
        <v/>
      </c>
      <c r="AC44">
        <f>HYPERLINK("https://klasma.github.io/Logging_0461/tillsyn/A 10550-2026 tillsynsbegäran.docx", "A 10550-2026")</f>
        <v/>
      </c>
      <c r="AD44">
        <f>HYPERLINK("https://klasma.github.io/Logging_0461/tillsynsmail/A 10550-2026 tillsynsbegäran mail.docx", "A 10550-2026")</f>
        <v/>
      </c>
    </row>
    <row r="45" ht="15" customHeight="1">
      <c r="A45" t="inlineStr">
        <is>
          <t>A 9502-2026</t>
        </is>
      </c>
      <c r="B45" t="inlineStr">
        <is>
          <t>avverkningsanmälan</t>
        </is>
      </c>
      <c r="C45" t="inlineStr">
        <is>
          <t>Föryngringsavverkning</t>
        </is>
      </c>
      <c r="D45" s="1" t="n">
        <v>46071</v>
      </c>
      <c r="E45" s="1" t="n">
        <v>46269</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7661-2023</t>
        </is>
      </c>
      <c r="B46" t="inlineStr">
        <is>
          <t>avverkningsanmälan</t>
        </is>
      </c>
      <c r="C46" t="inlineStr">
        <is>
          <t>Föryngringsavverkning</t>
        </is>
      </c>
      <c r="D46" s="1" t="n">
        <v>44972</v>
      </c>
      <c r="E46" s="1" t="n">
        <v>46269</v>
      </c>
      <c r="F46" t="inlineStr">
        <is>
          <t>SÖDERMANLANDS LÄN</t>
        </is>
      </c>
      <c r="G46" t="inlineStr">
        <is>
          <t>GNESTA</t>
        </is>
      </c>
      <c r="I46" t="n">
        <v>2</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7661-2023 artfynd.xlsx", "A 7661-2023")</f>
        <v/>
      </c>
      <c r="X46">
        <f>HYPERLINK("https://klasma.github.io/Logging_0461/kartor/A 7661-2023 karta.png", "A 7661-2023")</f>
        <v/>
      </c>
      <c r="Y46">
        <f>HYPERLINK("https://klasma.github.io/Logging_0461/kartor_geotiff/A 7661-2023 georefererad karta.tif", "A 7661-2023")</f>
        <v/>
      </c>
      <c r="AA46">
        <f>HYPERLINK("https://klasma.github.io/Logging_0461/klagomål/A 7661-2023 FSC-klagomål.docx", "A 7661-2023")</f>
        <v/>
      </c>
      <c r="AB46">
        <f>HYPERLINK("https://klasma.github.io/Logging_0461/klagomålsmail/A 7661-2023 FSC-klagomål mail.docx", "A 7661-2023")</f>
        <v/>
      </c>
      <c r="AC46">
        <f>HYPERLINK("https://klasma.github.io/Logging_0461/tillsyn/A 7661-2023 tillsynsbegäran.docx", "A 7661-2023")</f>
        <v/>
      </c>
      <c r="AD46">
        <f>HYPERLINK("https://klasma.github.io/Logging_0461/tillsynsmail/A 7661-2023 tillsynsbegäran mail.docx", "A 7661-2023")</f>
        <v/>
      </c>
    </row>
    <row r="47" ht="15" customHeight="1">
      <c r="A47" t="inlineStr">
        <is>
          <t>A 8018-2023</t>
        </is>
      </c>
      <c r="B47" t="inlineStr">
        <is>
          <t>avverkningsanmälan</t>
        </is>
      </c>
      <c r="C47" t="inlineStr">
        <is>
          <t>Föryngringsavverkning</t>
        </is>
      </c>
      <c r="D47" s="1" t="n">
        <v>44973</v>
      </c>
      <c r="E47" s="1" t="n">
        <v>46269</v>
      </c>
      <c r="F47" t="inlineStr">
        <is>
          <t>SÖDERMANLANDS LÄN</t>
        </is>
      </c>
      <c r="G47" t="inlineStr">
        <is>
          <t>GNESTA</t>
        </is>
      </c>
      <c r="I47" t="n">
        <v>3.6</v>
      </c>
      <c r="J47" t="n">
        <v>0</v>
      </c>
      <c r="K47" t="n">
        <v>1</v>
      </c>
      <c r="L47" t="n">
        <v>0</v>
      </c>
      <c r="M47" t="n">
        <v>0</v>
      </c>
      <c r="N47" t="n">
        <v>0</v>
      </c>
      <c r="O47" t="n">
        <v>0</v>
      </c>
      <c r="P47" t="n">
        <v>0</v>
      </c>
      <c r="Q47" t="n">
        <v>0</v>
      </c>
      <c r="R47" t="n">
        <v>0</v>
      </c>
      <c r="S47" t="n">
        <v>1</v>
      </c>
      <c r="T47" t="n">
        <v>1</v>
      </c>
      <c r="U47" t="n">
        <v>0</v>
      </c>
      <c r="V47" s="2" t="inlineStr">
        <is>
          <t>Rävticka</t>
        </is>
      </c>
      <c r="W47">
        <f>HYPERLINK("https://klasma.github.io/Logging_0461/artfynd/A 8018-2023 artfynd.xlsx", "A 8018-2023")</f>
        <v/>
      </c>
      <c r="X47">
        <f>HYPERLINK("https://klasma.github.io/Logging_0461/kartor/A 8018-2023 karta.png", "A 8018-2023")</f>
        <v/>
      </c>
      <c r="Y47">
        <f>HYPERLINK("https://klasma.github.io/Logging_0461/kartor_geotiff/A 8018-2023 georefererad karta.tif", "A 8018-2023")</f>
        <v/>
      </c>
      <c r="AA47">
        <f>HYPERLINK("https://klasma.github.io/Logging_0461/klagomål/A 8018-2023 FSC-klagomål.docx", "A 8018-2023")</f>
        <v/>
      </c>
      <c r="AB47">
        <f>HYPERLINK("https://klasma.github.io/Logging_0461/klagomålsmail/A 8018-2023 FSC-klagomål mail.docx", "A 8018-2023")</f>
        <v/>
      </c>
      <c r="AC47">
        <f>HYPERLINK("https://klasma.github.io/Logging_0461/tillsyn/A 8018-2023 tillsynsbegäran.docx", "A 8018-2023")</f>
        <v/>
      </c>
      <c r="AD47">
        <f>HYPERLINK("https://klasma.github.io/Logging_0461/tillsynsmail/A 8018-2023 tillsynsbegäran mail.docx", "A 8018-2023")</f>
        <v/>
      </c>
    </row>
    <row r="48" ht="15" customHeight="1">
      <c r="A48" t="inlineStr">
        <is>
          <t>A 18902-2023</t>
        </is>
      </c>
      <c r="B48" t="inlineStr">
        <is>
          <t>avverkningsanmälan</t>
        </is>
      </c>
      <c r="C48" t="inlineStr">
        <is>
          <t>Föryngringsavverkning</t>
        </is>
      </c>
      <c r="D48" s="1" t="n">
        <v>45044</v>
      </c>
      <c r="E48" s="1" t="n">
        <v>46269</v>
      </c>
      <c r="F48" t="inlineStr">
        <is>
          <t>SÖDERMANLANDS LÄN</t>
        </is>
      </c>
      <c r="G48" t="inlineStr">
        <is>
          <t>GNESTA</t>
        </is>
      </c>
      <c r="I48" t="n">
        <v>1.2</v>
      </c>
      <c r="J48" t="n">
        <v>1</v>
      </c>
      <c r="K48" t="n">
        <v>0</v>
      </c>
      <c r="L48" t="n">
        <v>0</v>
      </c>
      <c r="M48" t="n">
        <v>1</v>
      </c>
      <c r="N48" t="n">
        <v>0</v>
      </c>
      <c r="O48" t="n">
        <v>0</v>
      </c>
      <c r="P48" t="n">
        <v>0</v>
      </c>
      <c r="Q48" t="n">
        <v>1</v>
      </c>
      <c r="R48" t="n">
        <v>1</v>
      </c>
      <c r="S48" t="n">
        <v>1</v>
      </c>
      <c r="T48" t="n">
        <v>3</v>
      </c>
      <c r="U48" t="n">
        <v>3</v>
      </c>
      <c r="V48" s="2" t="inlineStr">
        <is>
          <t>Tjockskalig målarmussla</t>
        </is>
      </c>
      <c r="W48">
        <f>HYPERLINK("https://klasma.github.io/Logging_0461/artfynd/A 18902-2023 artfynd.xlsx", "A 18902-2023")</f>
        <v/>
      </c>
      <c r="X48">
        <f>HYPERLINK("https://klasma.github.io/Logging_0461/kartor/A 18902-2023 karta.png", "A 18902-2023")</f>
        <v/>
      </c>
      <c r="Y48">
        <f>HYPERLINK("https://klasma.github.io/Logging_0461/kartor_geotiff/A 18902-2023 georefererad karta.tif", "A 18902-2023")</f>
        <v/>
      </c>
      <c r="AA48">
        <f>HYPERLINK("https://klasma.github.io/Logging_0461/klagomål/A 18902-2023 FSC-klagomål.docx", "A 18902-2023")</f>
        <v/>
      </c>
      <c r="AB48">
        <f>HYPERLINK("https://klasma.github.io/Logging_0461/klagomålsmail/A 18902-2023 FSC-klagomål mail.docx", "A 18902-2023")</f>
        <v/>
      </c>
      <c r="AC48">
        <f>HYPERLINK("https://klasma.github.io/Logging_0461/tillsyn/A 18902-2023 tillsynsbegäran.docx", "A 18902-2023")</f>
        <v/>
      </c>
      <c r="AD48">
        <f>HYPERLINK("https://klasma.github.io/Logging_0461/tillsynsmail/A 18902-2023 tillsynsbegäran mail.docx", "A 18902-2023")</f>
        <v/>
      </c>
    </row>
    <row r="49" ht="15" customHeight="1">
      <c r="A49" t="inlineStr">
        <is>
          <t>A 16691-2026</t>
        </is>
      </c>
      <c r="B49" t="inlineStr">
        <is>
          <t>avverkningsanmälan</t>
        </is>
      </c>
      <c r="C49" t="inlineStr">
        <is>
          <t>Föryngringsavverkning</t>
        </is>
      </c>
      <c r="D49" s="1" t="n">
        <v>46112</v>
      </c>
      <c r="E49" s="1" t="n">
        <v>46269</v>
      </c>
      <c r="F49" t="inlineStr">
        <is>
          <t>SÖDERMANLANDS LÄN</t>
        </is>
      </c>
      <c r="G49" t="inlineStr">
        <is>
          <t>GNESTA</t>
        </is>
      </c>
      <c r="I49" t="n">
        <v>1.4</v>
      </c>
      <c r="J49" t="n">
        <v>0</v>
      </c>
      <c r="K49" t="n">
        <v>0</v>
      </c>
      <c r="L49" t="n">
        <v>1</v>
      </c>
      <c r="M49" t="n">
        <v>0</v>
      </c>
      <c r="N49" t="n">
        <v>0</v>
      </c>
      <c r="O49" t="n">
        <v>0</v>
      </c>
      <c r="P49" t="n">
        <v>0</v>
      </c>
      <c r="Q49" t="n">
        <v>1</v>
      </c>
      <c r="R49" t="n">
        <v>0</v>
      </c>
      <c r="S49" t="n">
        <v>1</v>
      </c>
      <c r="T49" t="n">
        <v>2</v>
      </c>
      <c r="U49" t="n">
        <v>0</v>
      </c>
      <c r="V49" s="2" t="inlineStr">
        <is>
          <t>Tallticka</t>
        </is>
      </c>
      <c r="W49">
        <f>HYPERLINK("https://klasma.github.io/Logging_0461/artfynd/A 16691-2026 artfynd.xlsx", "A 16691-2026")</f>
        <v/>
      </c>
      <c r="X49">
        <f>HYPERLINK("https://klasma.github.io/Logging_0461/kartor/A 16691-2026 karta.png", "A 16691-2026")</f>
        <v/>
      </c>
      <c r="Y49">
        <f>HYPERLINK("https://klasma.github.io/Logging_0461/kartor_geotiff/A 16691-2026 georefererad karta.tif", "A 16691-2026")</f>
        <v/>
      </c>
      <c r="AA49">
        <f>HYPERLINK("https://klasma.github.io/Logging_0461/klagomål/A 16691-2026 FSC-klagomål.docx", "A 16691-2026")</f>
        <v/>
      </c>
      <c r="AB49">
        <f>HYPERLINK("https://klasma.github.io/Logging_0461/klagomålsmail/A 16691-2026 FSC-klagomål mail.docx", "A 16691-2026")</f>
        <v/>
      </c>
      <c r="AC49">
        <f>HYPERLINK("https://klasma.github.io/Logging_0461/tillsyn/A 16691-2026 tillsynsbegäran.docx", "A 16691-2026")</f>
        <v/>
      </c>
      <c r="AD49">
        <f>HYPERLINK("https://klasma.github.io/Logging_0461/tillsynsmail/A 16691-2026 tillsynsbegäran mail.docx", "A 16691-2026")</f>
        <v/>
      </c>
    </row>
    <row r="50" ht="15" customHeight="1">
      <c r="A50" t="inlineStr">
        <is>
          <t>A 40267-2023</t>
        </is>
      </c>
      <c r="B50" t="inlineStr">
        <is>
          <t>avverkningsanmälan</t>
        </is>
      </c>
      <c r="C50" t="inlineStr">
        <is>
          <t>Föryngringsavverkning</t>
        </is>
      </c>
      <c r="D50" s="1" t="n">
        <v>45169</v>
      </c>
      <c r="E50" s="1" t="n">
        <v>46269</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46269</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46269</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46269</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46269</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46269</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46269</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46269</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46269</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46269</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46269</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46269</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46269</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46269</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46269</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46269</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46269</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46269</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46269</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46269</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46269</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46269</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46269</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46269</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46269</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46269</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42524-2022</t>
        </is>
      </c>
      <c r="B76" t="inlineStr">
        <is>
          <t>avverkningsanmälan</t>
        </is>
      </c>
      <c r="C76" t="inlineStr">
        <is>
          <t>Föryngringsavverkning</t>
        </is>
      </c>
      <c r="D76" s="1" t="n">
        <v>44831</v>
      </c>
      <c r="E76" s="1" t="n">
        <v>46269</v>
      </c>
      <c r="F76" t="inlineStr">
        <is>
          <t>SÖDERMANLANDS LÄN</t>
        </is>
      </c>
      <c r="G76" t="inlineStr">
        <is>
          <t>GNESTA</t>
        </is>
      </c>
      <c r="I76" t="n">
        <v>14.8</v>
      </c>
      <c r="J76" t="n">
        <v>0</v>
      </c>
      <c r="K76" t="n">
        <v>0</v>
      </c>
      <c r="L76" t="n">
        <v>0</v>
      </c>
      <c r="M76" t="n">
        <v>0</v>
      </c>
      <c r="N76" t="n">
        <v>0</v>
      </c>
      <c r="O76" t="n">
        <v>0</v>
      </c>
      <c r="P76" t="n">
        <v>0</v>
      </c>
      <c r="Q76" t="n">
        <v>0</v>
      </c>
      <c r="R76" t="n">
        <v>0</v>
      </c>
      <c r="S76" t="n">
        <v>0</v>
      </c>
      <c r="T76" t="n">
        <v>0</v>
      </c>
      <c r="U76" t="n">
        <v>0</v>
      </c>
      <c r="V76" s="2" t="inlineStr"/>
    </row>
    <row r="77" ht="15" customHeight="1">
      <c r="A77" t="inlineStr">
        <is>
          <t>A 20792-2022</t>
        </is>
      </c>
      <c r="B77" t="inlineStr">
        <is>
          <t>avverkningsanmälan</t>
        </is>
      </c>
      <c r="C77" t="inlineStr">
        <is>
          <t>Föryngringsavverkning</t>
        </is>
      </c>
      <c r="D77" s="1" t="n">
        <v>44701</v>
      </c>
      <c r="E77" s="1" t="n">
        <v>46269</v>
      </c>
      <c r="F77" t="inlineStr">
        <is>
          <t>SÖDERMANLANDS LÄN</t>
        </is>
      </c>
      <c r="G77" t="inlineStr">
        <is>
          <t>GNESTA</t>
        </is>
      </c>
      <c r="H77" t="inlineStr">
        <is>
          <t>Övriga Aktiebolag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46269</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70782-2021</t>
        </is>
      </c>
      <c r="B79" t="inlineStr">
        <is>
          <t>avverkningsanmälan</t>
        </is>
      </c>
      <c r="C79" t="inlineStr">
        <is>
          <t>Föryngringsavverkning</t>
        </is>
      </c>
      <c r="D79" s="1" t="n">
        <v>44537</v>
      </c>
      <c r="E79" s="1" t="n">
        <v>46269</v>
      </c>
      <c r="F79" t="inlineStr">
        <is>
          <t>SÖDERMANLANDS LÄN</t>
        </is>
      </c>
      <c r="G79" t="inlineStr">
        <is>
          <t>GNESTA</t>
        </is>
      </c>
      <c r="H79" t="inlineStr">
        <is>
          <t>Kyrkan</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47969-2022</t>
        </is>
      </c>
      <c r="B80" t="inlineStr">
        <is>
          <t>avverkningsanmälan</t>
        </is>
      </c>
      <c r="C80" t="inlineStr">
        <is>
          <t>Föryngringsavverkning</t>
        </is>
      </c>
      <c r="D80" s="1" t="n">
        <v>44853</v>
      </c>
      <c r="E80" s="1" t="n">
        <v>46269</v>
      </c>
      <c r="F80" t="inlineStr">
        <is>
          <t>SÖDERMANLANDS LÄN</t>
        </is>
      </c>
      <c r="G80" t="inlineStr">
        <is>
          <t>GNESTA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43201-2022</t>
        </is>
      </c>
      <c r="B81" t="inlineStr">
        <is>
          <t>avverkningsanmälan</t>
        </is>
      </c>
      <c r="C81" t="inlineStr">
        <is>
          <t>Föryngringsavverkning</t>
        </is>
      </c>
      <c r="D81" s="1" t="n">
        <v>44833</v>
      </c>
      <c r="E81" s="1" t="n">
        <v>46269</v>
      </c>
      <c r="F81" t="inlineStr">
        <is>
          <t>SÖDERMANLANDS LÄN</t>
        </is>
      </c>
      <c r="G81" t="inlineStr">
        <is>
          <t>GNESTA</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56815-2021</t>
        </is>
      </c>
      <c r="B82" t="inlineStr">
        <is>
          <t>avverkningsanmälan</t>
        </is>
      </c>
      <c r="C82" t="inlineStr">
        <is>
          <t>Föryngringsavverkning</t>
        </is>
      </c>
      <c r="D82" s="1" t="n">
        <v>44481</v>
      </c>
      <c r="E82" s="1" t="n">
        <v>46269</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45911-2022</t>
        </is>
      </c>
      <c r="B83" t="inlineStr">
        <is>
          <t>avverkningsanmälan</t>
        </is>
      </c>
      <c r="C83" t="inlineStr">
        <is>
          <t>Föryngringsavverkning</t>
        </is>
      </c>
      <c r="D83" s="1" t="n">
        <v>44846</v>
      </c>
      <c r="E83" s="1" t="n">
        <v>46269</v>
      </c>
      <c r="F83" t="inlineStr">
        <is>
          <t>SÖDERMANLANDS LÄN</t>
        </is>
      </c>
      <c r="G83" t="inlineStr">
        <is>
          <t>GNESTA</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17304-2022</t>
        </is>
      </c>
      <c r="B84" t="inlineStr">
        <is>
          <t>avverkningsanmälan</t>
        </is>
      </c>
      <c r="C84" t="inlineStr">
        <is>
          <t>Föryngringsavverkning</t>
        </is>
      </c>
      <c r="D84" s="1" t="n">
        <v>44678</v>
      </c>
      <c r="E84" s="1" t="n">
        <v>46269</v>
      </c>
      <c r="F84" t="inlineStr">
        <is>
          <t>SÖDERMANLANDS LÄN</t>
        </is>
      </c>
      <c r="G84" t="inlineStr">
        <is>
          <t>GNESTA</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2276-2022</t>
        </is>
      </c>
      <c r="B85" t="inlineStr">
        <is>
          <t>avverkningsanmälan</t>
        </is>
      </c>
      <c r="C85" t="inlineStr">
        <is>
          <t>Föryngringsavverkning</t>
        </is>
      </c>
      <c r="D85" s="1" t="n">
        <v>44578</v>
      </c>
      <c r="E85" s="1" t="n">
        <v>46269</v>
      </c>
      <c r="F85" t="inlineStr">
        <is>
          <t>SÖDERMANLANDS LÄN</t>
        </is>
      </c>
      <c r="G85" t="inlineStr">
        <is>
          <t>GNESTA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59616-2021</t>
        </is>
      </c>
      <c r="B86" t="inlineStr">
        <is>
          <t>avverkningsanmälan</t>
        </is>
      </c>
      <c r="C86" t="inlineStr">
        <is>
          <t>Föryngringsavverkning</t>
        </is>
      </c>
      <c r="D86" s="1" t="n">
        <v>44491</v>
      </c>
      <c r="E86" s="1" t="n">
        <v>46269</v>
      </c>
      <c r="F86" t="inlineStr">
        <is>
          <t>SÖDERMANLANDS LÄN</t>
        </is>
      </c>
      <c r="G86" t="inlineStr">
        <is>
          <t>GNESTA</t>
        </is>
      </c>
      <c r="H86" t="inlineStr">
        <is>
          <t>Kyrkan</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57612-2021</t>
        </is>
      </c>
      <c r="B87" t="inlineStr">
        <is>
          <t>avverkningsanmälan</t>
        </is>
      </c>
      <c r="C87" t="inlineStr">
        <is>
          <t>Föryngringsavverkning</t>
        </is>
      </c>
      <c r="D87" s="1" t="n">
        <v>44484</v>
      </c>
      <c r="E87" s="1" t="n">
        <v>46269</v>
      </c>
      <c r="F87" t="inlineStr">
        <is>
          <t>SÖDERMANLANDS LÄN</t>
        </is>
      </c>
      <c r="G87" t="inlineStr">
        <is>
          <t>GNESTA</t>
        </is>
      </c>
      <c r="H87" t="inlineStr">
        <is>
          <t>Holmen skog AB</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6155-2022</t>
        </is>
      </c>
      <c r="B88" t="inlineStr">
        <is>
          <t>avverkningsanmälan</t>
        </is>
      </c>
      <c r="C88" t="inlineStr">
        <is>
          <t>Föryngringsavverkning</t>
        </is>
      </c>
      <c r="D88" s="1" t="n">
        <v>44599</v>
      </c>
      <c r="E88" s="1" t="n">
        <v>46269</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32273-2022</t>
        </is>
      </c>
      <c r="B89" t="inlineStr">
        <is>
          <t>avverkningsanmälan</t>
        </is>
      </c>
      <c r="C89" t="inlineStr">
        <is>
          <t>Avverkning för att bevara och utveckla /försöksver</t>
        </is>
      </c>
      <c r="D89" s="1" t="n">
        <v>44781</v>
      </c>
      <c r="E89" s="1" t="n">
        <v>46269</v>
      </c>
      <c r="F89" t="inlineStr">
        <is>
          <t>SÖDERMANLANDS LÄN</t>
        </is>
      </c>
      <c r="G89" t="inlineStr">
        <is>
          <t>GNESTA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4383-2022</t>
        </is>
      </c>
      <c r="B90" t="inlineStr">
        <is>
          <t>avverkningsanmälan</t>
        </is>
      </c>
      <c r="C90" t="inlineStr">
        <is>
          <t>Föryngringsavverkning</t>
        </is>
      </c>
      <c r="D90" s="1" t="n">
        <v>44589</v>
      </c>
      <c r="E90" s="1" t="n">
        <v>46269</v>
      </c>
      <c r="F90" t="inlineStr">
        <is>
          <t>SÖDERMANLANDS LÄN</t>
        </is>
      </c>
      <c r="G90" t="inlineStr">
        <is>
          <t>GNESTA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68687-2021</t>
        </is>
      </c>
      <c r="B91" t="inlineStr">
        <is>
          <t>avverkningsanmälan</t>
        </is>
      </c>
      <c r="C91" t="inlineStr">
        <is>
          <t>Föryngringsavverkning</t>
        </is>
      </c>
      <c r="D91" s="1" t="n">
        <v>44529</v>
      </c>
      <c r="E91" s="1" t="n">
        <v>46269</v>
      </c>
      <c r="F91" t="inlineStr">
        <is>
          <t>SÖDERMANLANDS LÄN</t>
        </is>
      </c>
      <c r="G91" t="inlineStr">
        <is>
          <t>GNESTA</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31830-2022</t>
        </is>
      </c>
      <c r="B92" t="inlineStr">
        <is>
          <t>avverkningsanmälan</t>
        </is>
      </c>
      <c r="C92" t="inlineStr">
        <is>
          <t>Föryngringsavverkning</t>
        </is>
      </c>
      <c r="D92" s="1" t="n">
        <v>44776</v>
      </c>
      <c r="E92" s="1" t="n">
        <v>46269</v>
      </c>
      <c r="F92" t="inlineStr">
        <is>
          <t>SÖDERMANLANDS LÄN</t>
        </is>
      </c>
      <c r="G92" t="inlineStr">
        <is>
          <t>GNESTA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42226-2022</t>
        </is>
      </c>
      <c r="B93" t="inlineStr">
        <is>
          <t>avverkningsanmälan</t>
        </is>
      </c>
      <c r="C93" t="inlineStr">
        <is>
          <t>Föryngringsavverkning</t>
        </is>
      </c>
      <c r="D93" s="1" t="n">
        <v>44830</v>
      </c>
      <c r="E93" s="1" t="n">
        <v>46269</v>
      </c>
      <c r="F93" t="inlineStr">
        <is>
          <t>SÖDERMANLANDS LÄN</t>
        </is>
      </c>
      <c r="G93" t="inlineStr">
        <is>
          <t>GNESTA</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29986-2024</t>
        </is>
      </c>
      <c r="B94" t="inlineStr">
        <is>
          <t>avverkningsanmälan</t>
        </is>
      </c>
      <c r="C94" t="inlineStr">
        <is>
          <t>Föryngringsavverkning</t>
        </is>
      </c>
      <c r="D94" s="1" t="n">
        <v>45488</v>
      </c>
      <c r="E94" s="1" t="n">
        <v>46269</v>
      </c>
      <c r="F94" t="inlineStr">
        <is>
          <t>SÖDERMANLANDS LÄN</t>
        </is>
      </c>
      <c r="G94" t="inlineStr">
        <is>
          <t>GNESTA</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42178-2022</t>
        </is>
      </c>
      <c r="B95" t="inlineStr">
        <is>
          <t>avverkningsanmälan</t>
        </is>
      </c>
      <c r="C95" t="inlineStr">
        <is>
          <t>Föryngringsavverkning</t>
        </is>
      </c>
      <c r="D95" s="1" t="n">
        <v>44830</v>
      </c>
      <c r="E95" s="1" t="n">
        <v>46269</v>
      </c>
      <c r="F95" t="inlineStr">
        <is>
          <t>SÖDERMANLANDS LÄN</t>
        </is>
      </c>
      <c r="G95" t="inlineStr">
        <is>
          <t>GNESTA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21172-2023</t>
        </is>
      </c>
      <c r="B96" t="inlineStr">
        <is>
          <t>avverkningsanmälan</t>
        </is>
      </c>
      <c r="C96" t="inlineStr">
        <is>
          <t>Avverkning för annat ändamål</t>
        </is>
      </c>
      <c r="D96" s="1" t="n">
        <v>45062</v>
      </c>
      <c r="E96" s="1" t="n">
        <v>46269</v>
      </c>
      <c r="F96" t="inlineStr">
        <is>
          <t>SÖDERMANLANDS LÄN</t>
        </is>
      </c>
      <c r="G96" t="inlineStr">
        <is>
          <t>GNESTA</t>
        </is>
      </c>
      <c r="H96" t="inlineStr">
        <is>
          <t>Övriga Aktiebolag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46269</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44381-2024</t>
        </is>
      </c>
      <c r="B98" t="inlineStr">
        <is>
          <t>avverkningsanmälan</t>
        </is>
      </c>
      <c r="C98" t="inlineStr">
        <is>
          <t>Föryngringsavverkning</t>
        </is>
      </c>
      <c r="D98" s="1" t="n">
        <v>45573</v>
      </c>
      <c r="E98" s="1" t="n">
        <v>46269</v>
      </c>
      <c r="F98" t="inlineStr">
        <is>
          <t>SÖDERMANLANDS LÄN</t>
        </is>
      </c>
      <c r="G98" t="inlineStr">
        <is>
          <t>GNESTA</t>
        </is>
      </c>
      <c r="I98" t="n">
        <v>6.3</v>
      </c>
      <c r="J98" t="n">
        <v>0</v>
      </c>
      <c r="K98" t="n">
        <v>0</v>
      </c>
      <c r="L98" t="n">
        <v>0</v>
      </c>
      <c r="M98" t="n">
        <v>0</v>
      </c>
      <c r="N98" t="n">
        <v>0</v>
      </c>
      <c r="O98" t="n">
        <v>0</v>
      </c>
      <c r="P98" t="n">
        <v>0</v>
      </c>
      <c r="Q98" t="n">
        <v>0</v>
      </c>
      <c r="R98" t="n">
        <v>0</v>
      </c>
      <c r="S98" t="n">
        <v>0</v>
      </c>
      <c r="T98" t="n">
        <v>0</v>
      </c>
      <c r="U98" t="n">
        <v>0</v>
      </c>
      <c r="V98" s="2" t="inlineStr"/>
    </row>
    <row r="99" ht="15" customHeight="1">
      <c r="A99" t="inlineStr">
        <is>
          <t>A 32320-2022</t>
        </is>
      </c>
      <c r="B99" t="inlineStr">
        <is>
          <t>avverkningsanmälan</t>
        </is>
      </c>
      <c r="C99" t="inlineStr">
        <is>
          <t>Avverkning för att bevara och utveckla /försöksver</t>
        </is>
      </c>
      <c r="D99" s="1" t="n">
        <v>44781</v>
      </c>
      <c r="E99" s="1" t="n">
        <v>46269</v>
      </c>
      <c r="F99" t="inlineStr">
        <is>
          <t>SÖDERMANLANDS LÄN</t>
        </is>
      </c>
      <c r="G99" t="inlineStr">
        <is>
          <t>GNESTA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4438-2022</t>
        </is>
      </c>
      <c r="B100" t="inlineStr">
        <is>
          <t>avverkningsanmälan</t>
        </is>
      </c>
      <c r="C100" t="inlineStr">
        <is>
          <t>Föryngringsavverkning</t>
        </is>
      </c>
      <c r="D100" s="1" t="n">
        <v>44589</v>
      </c>
      <c r="E100" s="1" t="n">
        <v>46269</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61896-2022</t>
        </is>
      </c>
      <c r="B101" t="inlineStr">
        <is>
          <t>avverkningsanmälan</t>
        </is>
      </c>
      <c r="C101" t="inlineStr">
        <is>
          <t>Föryngringsavverkning</t>
        </is>
      </c>
      <c r="D101" s="1" t="n">
        <v>44917</v>
      </c>
      <c r="E101" s="1" t="n">
        <v>46269</v>
      </c>
      <c r="F101" t="inlineStr">
        <is>
          <t>SÖDERMANLANDS LÄN</t>
        </is>
      </c>
      <c r="G101" t="inlineStr">
        <is>
          <t>GNESTA</t>
        </is>
      </c>
      <c r="H101" t="inlineStr">
        <is>
          <t>Kommuner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43192-2022</t>
        </is>
      </c>
      <c r="B102" t="inlineStr">
        <is>
          <t>avverkningsanmälan</t>
        </is>
      </c>
      <c r="C102" t="inlineStr">
        <is>
          <t>Föryngringsavverkning</t>
        </is>
      </c>
      <c r="D102" s="1" t="n">
        <v>44833</v>
      </c>
      <c r="E102" s="1" t="n">
        <v>46269</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46269</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56824-2021</t>
        </is>
      </c>
      <c r="B104" t="inlineStr">
        <is>
          <t>avverkningsanmälan</t>
        </is>
      </c>
      <c r="C104" t="inlineStr">
        <is>
          <t>Föryngringsavverkning</t>
        </is>
      </c>
      <c r="D104" s="1" t="n">
        <v>44481</v>
      </c>
      <c r="E104" s="1" t="n">
        <v>46269</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46269</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46269</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16927-2024</t>
        </is>
      </c>
      <c r="B107" t="inlineStr">
        <is>
          <t>avverkningsanmälan</t>
        </is>
      </c>
      <c r="C107" t="inlineStr">
        <is>
          <t>Föryngringsavverkning</t>
        </is>
      </c>
      <c r="D107" s="1" t="n">
        <v>45411</v>
      </c>
      <c r="E107" s="1" t="n">
        <v>46269</v>
      </c>
      <c r="F107" t="inlineStr">
        <is>
          <t>SÖDERMANLANDS LÄN</t>
        </is>
      </c>
      <c r="G107" t="inlineStr">
        <is>
          <t>GNESTA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68362-2021</t>
        </is>
      </c>
      <c r="B108" t="inlineStr">
        <is>
          <t>avverkningsanmälan</t>
        </is>
      </c>
      <c r="C108" t="inlineStr">
        <is>
          <t>Föryngringsavverkning</t>
        </is>
      </c>
      <c r="D108" s="1" t="n">
        <v>44528</v>
      </c>
      <c r="E108" s="1" t="n">
        <v>46269</v>
      </c>
      <c r="F108" t="inlineStr">
        <is>
          <t>SÖDERMANLANDS LÄN</t>
        </is>
      </c>
      <c r="G108" t="inlineStr">
        <is>
          <t>GNESTA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22667-2023</t>
        </is>
      </c>
      <c r="B109" t="inlineStr">
        <is>
          <t>avverkningsanmälan</t>
        </is>
      </c>
      <c r="C109" t="inlineStr">
        <is>
          <t>Föryngringsavverkning</t>
        </is>
      </c>
      <c r="D109" s="1" t="n">
        <v>45071</v>
      </c>
      <c r="E109" s="1" t="n">
        <v>46269</v>
      </c>
      <c r="F109" t="inlineStr">
        <is>
          <t>SÖDERMANLANDS LÄN</t>
        </is>
      </c>
      <c r="G109" t="inlineStr">
        <is>
          <t>GNESTA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56732-2023</t>
        </is>
      </c>
      <c r="B110" t="inlineStr">
        <is>
          <t>avverkningsanmälan</t>
        </is>
      </c>
      <c r="C110" t="inlineStr">
        <is>
          <t>Föryngringsavverkning</t>
        </is>
      </c>
      <c r="D110" s="1" t="n">
        <v>45238</v>
      </c>
      <c r="E110" s="1" t="n">
        <v>46269</v>
      </c>
      <c r="F110" t="inlineStr">
        <is>
          <t>SÖDERMANLANDS LÄN</t>
        </is>
      </c>
      <c r="G110" t="inlineStr">
        <is>
          <t>GNESTA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62016-2022</t>
        </is>
      </c>
      <c r="B111" t="inlineStr">
        <is>
          <t>avverkningsanmälan</t>
        </is>
      </c>
      <c r="C111" t="inlineStr">
        <is>
          <t>Föryngringsavverkning</t>
        </is>
      </c>
      <c r="D111" s="1" t="n">
        <v>44918</v>
      </c>
      <c r="E111" s="1" t="n">
        <v>46269</v>
      </c>
      <c r="F111" t="inlineStr">
        <is>
          <t>SÖDERMANLANDS LÄN</t>
        </is>
      </c>
      <c r="G111" t="inlineStr">
        <is>
          <t>GNESTA</t>
        </is>
      </c>
      <c r="H111" t="inlineStr">
        <is>
          <t>Kommuner</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46269</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64-2024</t>
        </is>
      </c>
      <c r="B113" t="inlineStr">
        <is>
          <t>avverkningsanmälan</t>
        </is>
      </c>
      <c r="C113" t="inlineStr">
        <is>
          <t>Föryngringsavverkning</t>
        </is>
      </c>
      <c r="D113" s="1" t="n">
        <v>45293</v>
      </c>
      <c r="E113" s="1" t="n">
        <v>46269</v>
      </c>
      <c r="F113" t="inlineStr">
        <is>
          <t>SÖDERMANLANDS LÄN</t>
        </is>
      </c>
      <c r="G113" t="inlineStr">
        <is>
          <t>GNESTA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25635-2023</t>
        </is>
      </c>
      <c r="B114" t="inlineStr">
        <is>
          <t>avverkningsanmälan</t>
        </is>
      </c>
      <c r="C114" t="inlineStr">
        <is>
          <t>Föryngringsavverkning</t>
        </is>
      </c>
      <c r="D114" s="1" t="n">
        <v>45089</v>
      </c>
      <c r="E114" s="1" t="n">
        <v>46269</v>
      </c>
      <c r="F114" t="inlineStr">
        <is>
          <t>SÖDERMANLANDS LÄN</t>
        </is>
      </c>
      <c r="G114" t="inlineStr">
        <is>
          <t>GNESTA</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43533-2024</t>
        </is>
      </c>
      <c r="B115" t="inlineStr">
        <is>
          <t>avverkningsanmälan</t>
        </is>
      </c>
      <c r="C115" t="inlineStr">
        <is>
          <t>Föryngringsavverkning</t>
        </is>
      </c>
      <c r="D115" s="1" t="n">
        <v>45569</v>
      </c>
      <c r="E115" s="1" t="n">
        <v>46269</v>
      </c>
      <c r="F115" t="inlineStr">
        <is>
          <t>SÖDERMANLANDS LÄN</t>
        </is>
      </c>
      <c r="G115" t="inlineStr">
        <is>
          <t>GNESTA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5822-2023</t>
        </is>
      </c>
      <c r="B116" t="inlineStr">
        <is>
          <t>avverkningsanmälan</t>
        </is>
      </c>
      <c r="C116" t="inlineStr">
        <is>
          <t>Föryngringsavverkning</t>
        </is>
      </c>
      <c r="D116" s="1" t="n">
        <v>44958</v>
      </c>
      <c r="E116" s="1" t="n">
        <v>46269</v>
      </c>
      <c r="F116" t="inlineStr">
        <is>
          <t>SÖDERMANLANDS LÄN</t>
        </is>
      </c>
      <c r="G116" t="inlineStr">
        <is>
          <t>GNESTA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6979-2024</t>
        </is>
      </c>
      <c r="B117" t="inlineStr">
        <is>
          <t>avverkningsanmälan</t>
        </is>
      </c>
      <c r="C117" t="inlineStr">
        <is>
          <t>Föryngringsavverkning</t>
        </is>
      </c>
      <c r="D117" s="1" t="n">
        <v>45343</v>
      </c>
      <c r="E117" s="1" t="n">
        <v>46269</v>
      </c>
      <c r="F117" t="inlineStr">
        <is>
          <t>SÖDERMANLANDS LÄN</t>
        </is>
      </c>
      <c r="G117" t="inlineStr">
        <is>
          <t>GNESTA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2225-2025</t>
        </is>
      </c>
      <c r="B118" t="inlineStr">
        <is>
          <t>avverkningsanmälan</t>
        </is>
      </c>
      <c r="C118" t="inlineStr">
        <is>
          <t>Föryngringsavverkning</t>
        </is>
      </c>
      <c r="D118" s="1" t="n">
        <v>45673</v>
      </c>
      <c r="E118" s="1" t="n">
        <v>46269</v>
      </c>
      <c r="F118" t="inlineStr">
        <is>
          <t>SÖDERMANLANDS LÄN</t>
        </is>
      </c>
      <c r="G118" t="inlineStr">
        <is>
          <t>GNESTA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30638-2024</t>
        </is>
      </c>
      <c r="B119" t="inlineStr">
        <is>
          <t>avverkningsanmälan</t>
        </is>
      </c>
      <c r="C119" t="inlineStr">
        <is>
          <t>Föryngringsavverkning</t>
        </is>
      </c>
      <c r="D119" s="1" t="n">
        <v>45495</v>
      </c>
      <c r="E119" s="1" t="n">
        <v>46269</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10331-2025</t>
        </is>
      </c>
      <c r="B120" t="inlineStr">
        <is>
          <t>avverkningsanmälan</t>
        </is>
      </c>
      <c r="C120" t="inlineStr">
        <is>
          <t>Föryngringsavverkning</t>
        </is>
      </c>
      <c r="D120" s="1" t="n">
        <v>45720</v>
      </c>
      <c r="E120" s="1" t="n">
        <v>46269</v>
      </c>
      <c r="F120" t="inlineStr">
        <is>
          <t>SÖDERMANLANDS LÄN</t>
        </is>
      </c>
      <c r="G120" t="inlineStr">
        <is>
          <t>GNESTA</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36162-2022</t>
        </is>
      </c>
      <c r="B121" t="inlineStr">
        <is>
          <t>avverkningsanmälan</t>
        </is>
      </c>
      <c r="C121" t="inlineStr">
        <is>
          <t>Föryngringsavverkning</t>
        </is>
      </c>
      <c r="D121" s="1" t="n">
        <v>44803</v>
      </c>
      <c r="E121" s="1" t="n">
        <v>46269</v>
      </c>
      <c r="F121" t="inlineStr">
        <is>
          <t>SÖDERMANLANDS LÄN</t>
        </is>
      </c>
      <c r="G121" t="inlineStr">
        <is>
          <t>GNESTA</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24170-2025</t>
        </is>
      </c>
      <c r="B122" t="inlineStr">
        <is>
          <t>avverkningsanmälan</t>
        </is>
      </c>
      <c r="C122" t="inlineStr">
        <is>
          <t>Föryngringsavverkning</t>
        </is>
      </c>
      <c r="D122" s="1" t="n">
        <v>45796</v>
      </c>
      <c r="E122" s="1" t="n">
        <v>46269</v>
      </c>
      <c r="F122" t="inlineStr">
        <is>
          <t>SÖDERMANLANDS LÄN</t>
        </is>
      </c>
      <c r="G122" t="inlineStr">
        <is>
          <t>GNESTA</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24172-2025</t>
        </is>
      </c>
      <c r="B123" t="inlineStr">
        <is>
          <t>avverkningsanmälan</t>
        </is>
      </c>
      <c r="C123" t="inlineStr">
        <is>
          <t>Föryngringsavverkning</t>
        </is>
      </c>
      <c r="D123" s="1" t="n">
        <v>45796</v>
      </c>
      <c r="E123" s="1" t="n">
        <v>46269</v>
      </c>
      <c r="F123" t="inlineStr">
        <is>
          <t>SÖDERMANLANDS LÄN</t>
        </is>
      </c>
      <c r="G123" t="inlineStr">
        <is>
          <t>GNESTA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34429-2023</t>
        </is>
      </c>
      <c r="B124" t="inlineStr">
        <is>
          <t>avverkningsanmälan</t>
        </is>
      </c>
      <c r="C124" t="inlineStr">
        <is>
          <t>Föryngringsavverkning</t>
        </is>
      </c>
      <c r="D124" s="1" t="n">
        <v>45133</v>
      </c>
      <c r="E124" s="1" t="n">
        <v>46269</v>
      </c>
      <c r="F124" t="inlineStr">
        <is>
          <t>SÖDERMANLANDS LÄN</t>
        </is>
      </c>
      <c r="G124" t="inlineStr">
        <is>
          <t>GNESTA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48738-2021</t>
        </is>
      </c>
      <c r="B125" t="inlineStr">
        <is>
          <t>avverkningsanmälan</t>
        </is>
      </c>
      <c r="C125" t="inlineStr">
        <is>
          <t>Föryngringsavverkning</t>
        </is>
      </c>
      <c r="D125" s="1" t="n">
        <v>44452</v>
      </c>
      <c r="E125" s="1" t="n">
        <v>46269</v>
      </c>
      <c r="F125" t="inlineStr">
        <is>
          <t>SÖDERMANLANDS LÄN</t>
        </is>
      </c>
      <c r="G125" t="inlineStr">
        <is>
          <t>GNESTA</t>
        </is>
      </c>
      <c r="H125" t="inlineStr">
        <is>
          <t>Kyrkan</t>
        </is>
      </c>
      <c r="I125" t="n">
        <v>11.3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65000-2023</t>
        </is>
      </c>
      <c r="B126" t="inlineStr">
        <is>
          <t>avverkningsanmälan</t>
        </is>
      </c>
      <c r="C126" t="inlineStr">
        <is>
          <t>Föryngringsavverkning</t>
        </is>
      </c>
      <c r="D126" s="1" t="n">
        <v>45286</v>
      </c>
      <c r="E126" s="1" t="n">
        <v>46269</v>
      </c>
      <c r="F126" t="inlineStr">
        <is>
          <t>SÖDERMANLANDS LÄN</t>
        </is>
      </c>
      <c r="G126" t="inlineStr">
        <is>
          <t>GNESTA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33758-2022</t>
        </is>
      </c>
      <c r="B127" t="inlineStr">
        <is>
          <t>avverkningsanmälan</t>
        </is>
      </c>
      <c r="C127" t="inlineStr">
        <is>
          <t>Föryngringsavverkning</t>
        </is>
      </c>
      <c r="D127" s="1" t="n">
        <v>44790</v>
      </c>
      <c r="E127" s="1" t="n">
        <v>46269</v>
      </c>
      <c r="F127" t="inlineStr">
        <is>
          <t>SÖDERMANLANDS LÄN</t>
        </is>
      </c>
      <c r="G127" t="inlineStr">
        <is>
          <t>GNESTA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3002-2023</t>
        </is>
      </c>
      <c r="B128" t="inlineStr">
        <is>
          <t>avverkningsanmälan</t>
        </is>
      </c>
      <c r="C128" t="inlineStr">
        <is>
          <t>Föryngringsavverkning</t>
        </is>
      </c>
      <c r="D128" s="1" t="n">
        <v>44945</v>
      </c>
      <c r="E128" s="1" t="n">
        <v>46269</v>
      </c>
      <c r="F128" t="inlineStr">
        <is>
          <t>SÖDERMANLANDS LÄN</t>
        </is>
      </c>
      <c r="G128" t="inlineStr">
        <is>
          <t>GNESTA</t>
        </is>
      </c>
      <c r="H128" t="inlineStr">
        <is>
          <t>Kommuner</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40075-2022</t>
        </is>
      </c>
      <c r="B129" t="inlineStr">
        <is>
          <t>avverkningsanmälan</t>
        </is>
      </c>
      <c r="C129" t="inlineStr">
        <is>
          <t>Föryngringsavverkning</t>
        </is>
      </c>
      <c r="D129" s="1" t="n">
        <v>44819</v>
      </c>
      <c r="E129" s="1" t="n">
        <v>46269</v>
      </c>
      <c r="F129" t="inlineStr">
        <is>
          <t>SÖDERMANLANDS LÄN</t>
        </is>
      </c>
      <c r="G129" t="inlineStr">
        <is>
          <t>GNESTA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61032-2024</t>
        </is>
      </c>
      <c r="B130" t="inlineStr">
        <is>
          <t>avverkningsanmälan</t>
        </is>
      </c>
      <c r="C130" t="inlineStr">
        <is>
          <t>Avverkning för annat ändamål</t>
        </is>
      </c>
      <c r="D130" s="1" t="n">
        <v>45644</v>
      </c>
      <c r="E130" s="1" t="n">
        <v>46269</v>
      </c>
      <c r="F130" t="inlineStr">
        <is>
          <t>SÖDERMANLANDS LÄN</t>
        </is>
      </c>
      <c r="G130" t="inlineStr">
        <is>
          <t>GNESTA</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62428-2023</t>
        </is>
      </c>
      <c r="B131" t="inlineStr">
        <is>
          <t>avverkningsanmälan</t>
        </is>
      </c>
      <c r="C131" t="inlineStr">
        <is>
          <t>Föryngringsavverkning</t>
        </is>
      </c>
      <c r="D131" s="1" t="n">
        <v>45268</v>
      </c>
      <c r="E131" s="1" t="n">
        <v>46269</v>
      </c>
      <c r="F131" t="inlineStr">
        <is>
          <t>SÖDERMANLANDS LÄN</t>
        </is>
      </c>
      <c r="G131" t="inlineStr">
        <is>
          <t>GNESTA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22166-2024</t>
        </is>
      </c>
      <c r="B132" t="inlineStr">
        <is>
          <t>avverkningsanmälan</t>
        </is>
      </c>
      <c r="C132" t="inlineStr">
        <is>
          <t>Föryngringsavverkning</t>
        </is>
      </c>
      <c r="D132" s="1" t="n">
        <v>45446</v>
      </c>
      <c r="E132" s="1" t="n">
        <v>46269</v>
      </c>
      <c r="F132" t="inlineStr">
        <is>
          <t>SÖDERMANLANDS LÄN</t>
        </is>
      </c>
      <c r="G132" t="inlineStr">
        <is>
          <t>GNESTA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27141-2025</t>
        </is>
      </c>
      <c r="B133" t="inlineStr">
        <is>
          <t>avverkningsanmälan</t>
        </is>
      </c>
      <c r="C133" t="inlineStr">
        <is>
          <t>Föryngringsavverkning</t>
        </is>
      </c>
      <c r="D133" s="1" t="n">
        <v>45812</v>
      </c>
      <c r="E133" s="1" t="n">
        <v>46269</v>
      </c>
      <c r="F133" t="inlineStr">
        <is>
          <t>SÖDERMANLANDS LÄN</t>
        </is>
      </c>
      <c r="G133" t="inlineStr">
        <is>
          <t>GNESTA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34615-2023</t>
        </is>
      </c>
      <c r="B134" t="inlineStr">
        <is>
          <t>avverkningsanmälan</t>
        </is>
      </c>
      <c r="C134" t="inlineStr">
        <is>
          <t>Föryngringsavverkning</t>
        </is>
      </c>
      <c r="D134" s="1" t="n">
        <v>45140</v>
      </c>
      <c r="E134" s="1" t="n">
        <v>46269</v>
      </c>
      <c r="F134" t="inlineStr">
        <is>
          <t>SÖDERMANLANDS LÄN</t>
        </is>
      </c>
      <c r="G134" t="inlineStr">
        <is>
          <t>GNESTA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43076-2023</t>
        </is>
      </c>
      <c r="B135" t="inlineStr">
        <is>
          <t>avverkningsanmälan</t>
        </is>
      </c>
      <c r="C135" t="inlineStr">
        <is>
          <t>Föryngringsavverkning</t>
        </is>
      </c>
      <c r="D135" s="1" t="n">
        <v>45182</v>
      </c>
      <c r="E135" s="1" t="n">
        <v>46269</v>
      </c>
      <c r="F135" t="inlineStr">
        <is>
          <t>SÖDERMANLANDS LÄN</t>
        </is>
      </c>
      <c r="G135" t="inlineStr">
        <is>
          <t>GNESTA</t>
        </is>
      </c>
      <c r="I135" t="n">
        <v>18.2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13346-2023</t>
        </is>
      </c>
      <c r="B136" t="inlineStr">
        <is>
          <t>avverkningsanmälan</t>
        </is>
      </c>
      <c r="C136" t="inlineStr">
        <is>
          <t>Föryngringsavverkning</t>
        </is>
      </c>
      <c r="D136" s="1" t="n">
        <v>45005</v>
      </c>
      <c r="E136" s="1" t="n">
        <v>46269</v>
      </c>
      <c r="F136" t="inlineStr">
        <is>
          <t>SÖDERMANLANDS LÄN</t>
        </is>
      </c>
      <c r="G136" t="inlineStr">
        <is>
          <t>GNESTA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38894-2023</t>
        </is>
      </c>
      <c r="B137" t="inlineStr">
        <is>
          <t>avverkningsanmälan</t>
        </is>
      </c>
      <c r="C137" t="inlineStr">
        <is>
          <t>Föryngringsavverkning</t>
        </is>
      </c>
      <c r="D137" s="1" t="n">
        <v>45163</v>
      </c>
      <c r="E137" s="1" t="n">
        <v>46269</v>
      </c>
      <c r="F137" t="inlineStr">
        <is>
          <t>SÖDERMANLANDS LÄN</t>
        </is>
      </c>
      <c r="G137" t="inlineStr">
        <is>
          <t>GNESTA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21854-2023</t>
        </is>
      </c>
      <c r="B138" t="inlineStr">
        <is>
          <t>avverkningsanmälan</t>
        </is>
      </c>
      <c r="C138" t="inlineStr">
        <is>
          <t>Föryngringsavverkning</t>
        </is>
      </c>
      <c r="D138" s="1" t="n">
        <v>45068</v>
      </c>
      <c r="E138" s="1" t="n">
        <v>46269</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63-2024</t>
        </is>
      </c>
      <c r="B139" t="inlineStr">
        <is>
          <t>avverkningsanmälan</t>
        </is>
      </c>
      <c r="C139" t="inlineStr">
        <is>
          <t>Föryngringsavverkning</t>
        </is>
      </c>
      <c r="D139" s="1" t="n">
        <v>45293</v>
      </c>
      <c r="E139" s="1" t="n">
        <v>46269</v>
      </c>
      <c r="F139" t="inlineStr">
        <is>
          <t>SÖDERMANLANDS LÄN</t>
        </is>
      </c>
      <c r="G139" t="inlineStr">
        <is>
          <t>GNESTA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48304-2023</t>
        </is>
      </c>
      <c r="B140" t="inlineStr">
        <is>
          <t>avverkningsanmälan</t>
        </is>
      </c>
      <c r="C140" t="inlineStr">
        <is>
          <t>Föryngringsavverkning</t>
        </is>
      </c>
      <c r="D140" s="1" t="n">
        <v>45205</v>
      </c>
      <c r="E140" s="1" t="n">
        <v>46269</v>
      </c>
      <c r="F140" t="inlineStr">
        <is>
          <t>SÖDERMANLANDS LÄN</t>
        </is>
      </c>
      <c r="G140" t="inlineStr">
        <is>
          <t>GNESTA</t>
        </is>
      </c>
      <c r="H140" t="inlineStr">
        <is>
          <t>Holmen skog AB</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56720-2023</t>
        </is>
      </c>
      <c r="B141" t="inlineStr">
        <is>
          <t>avverkningsanmälan</t>
        </is>
      </c>
      <c r="C141" t="inlineStr">
        <is>
          <t>Föryngringsavverkning</t>
        </is>
      </c>
      <c r="D141" s="1" t="n">
        <v>45238</v>
      </c>
      <c r="E141" s="1" t="n">
        <v>46269</v>
      </c>
      <c r="F141" t="inlineStr">
        <is>
          <t>SÖDERMANLANDS LÄN</t>
        </is>
      </c>
      <c r="G141" t="inlineStr">
        <is>
          <t>GNESTA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47013-2022</t>
        </is>
      </c>
      <c r="B142" t="inlineStr">
        <is>
          <t>avverkningsanmälan</t>
        </is>
      </c>
      <c r="C142" t="inlineStr">
        <is>
          <t>Föryngringsavverkning</t>
        </is>
      </c>
      <c r="D142" s="1" t="n">
        <v>44852</v>
      </c>
      <c r="E142" s="1" t="n">
        <v>46269</v>
      </c>
      <c r="F142" t="inlineStr">
        <is>
          <t>SÖDERMANLANDS LÄN</t>
        </is>
      </c>
      <c r="G142" t="inlineStr">
        <is>
          <t>GNESTA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73063-2021</t>
        </is>
      </c>
      <c r="B143" t="inlineStr">
        <is>
          <t>avverkningsanmälan</t>
        </is>
      </c>
      <c r="C143" t="inlineStr">
        <is>
          <t>Föryngringsavverkning</t>
        </is>
      </c>
      <c r="D143" s="1" t="n">
        <v>44546</v>
      </c>
      <c r="E143" s="1" t="n">
        <v>46269</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14055-2023</t>
        </is>
      </c>
      <c r="B144" t="inlineStr">
        <is>
          <t>avverkningsanmälan</t>
        </is>
      </c>
      <c r="C144" t="inlineStr">
        <is>
          <t>Föryngringsavverkning</t>
        </is>
      </c>
      <c r="D144" s="1" t="n">
        <v>45008</v>
      </c>
      <c r="E144" s="1" t="n">
        <v>46269</v>
      </c>
      <c r="F144" t="inlineStr">
        <is>
          <t>SÖDERMANLANDS LÄN</t>
        </is>
      </c>
      <c r="G144" t="inlineStr">
        <is>
          <t>GNESTA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1216-2022</t>
        </is>
      </c>
      <c r="B145" t="inlineStr">
        <is>
          <t>avverkningsanmälan</t>
        </is>
      </c>
      <c r="C145" t="inlineStr">
        <is>
          <t>Föryngringsavverkning</t>
        </is>
      </c>
      <c r="D145" s="1" t="n">
        <v>44572</v>
      </c>
      <c r="E145" s="1" t="n">
        <v>46269</v>
      </c>
      <c r="F145" t="inlineStr">
        <is>
          <t>SÖDERMANLANDS LÄN</t>
        </is>
      </c>
      <c r="G145" t="inlineStr">
        <is>
          <t>GNESTA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6228-2024</t>
        </is>
      </c>
      <c r="B146" t="inlineStr">
        <is>
          <t>avverkningsanmälan</t>
        </is>
      </c>
      <c r="C146" t="inlineStr">
        <is>
          <t>Föryngringsavverkning</t>
        </is>
      </c>
      <c r="D146" s="1" t="n">
        <v>45337</v>
      </c>
      <c r="E146" s="1" t="n">
        <v>46269</v>
      </c>
      <c r="F146" t="inlineStr">
        <is>
          <t>SÖDERMANLANDS LÄN</t>
        </is>
      </c>
      <c r="G146" t="inlineStr">
        <is>
          <t>GNESTA</t>
        </is>
      </c>
      <c r="I146" t="n">
        <v>10.4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29987-2024</t>
        </is>
      </c>
      <c r="B147" t="inlineStr">
        <is>
          <t>avverkningsanmälan</t>
        </is>
      </c>
      <c r="C147" t="inlineStr">
        <is>
          <t>Föryngringsavverkning</t>
        </is>
      </c>
      <c r="D147" s="1" t="n">
        <v>45488</v>
      </c>
      <c r="E147" s="1" t="n">
        <v>46269</v>
      </c>
      <c r="F147" t="inlineStr">
        <is>
          <t>SÖDERMANLANDS LÄN</t>
        </is>
      </c>
      <c r="G147" t="inlineStr">
        <is>
          <t>GNESTA</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7777-2023</t>
        </is>
      </c>
      <c r="B148" t="inlineStr">
        <is>
          <t>avverkningsanmälan</t>
        </is>
      </c>
      <c r="C148" t="inlineStr">
        <is>
          <t>Föryngringsavverkning</t>
        </is>
      </c>
      <c r="D148" s="1" t="n">
        <v>44973</v>
      </c>
      <c r="E148" s="1" t="n">
        <v>46269</v>
      </c>
      <c r="F148" t="inlineStr">
        <is>
          <t>SÖDERMANLANDS LÄN</t>
        </is>
      </c>
      <c r="G148" t="inlineStr">
        <is>
          <t>GNESTA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25976-2024</t>
        </is>
      </c>
      <c r="B149" t="inlineStr">
        <is>
          <t>avverkningsanmälan</t>
        </is>
      </c>
      <c r="C149" t="inlineStr">
        <is>
          <t>Avverkning för att bevara och utveckla /försöksver</t>
        </is>
      </c>
      <c r="D149" s="1" t="n">
        <v>45467</v>
      </c>
      <c r="E149" s="1" t="n">
        <v>46269</v>
      </c>
      <c r="F149" t="inlineStr">
        <is>
          <t>SÖDERMANLANDS LÄN</t>
        </is>
      </c>
      <c r="G149" t="inlineStr">
        <is>
          <t>GNESTA</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34425-2023</t>
        </is>
      </c>
      <c r="B150" t="inlineStr">
        <is>
          <t>avverkningsanmälan</t>
        </is>
      </c>
      <c r="C150" t="inlineStr">
        <is>
          <t>Föryngringsavverkning</t>
        </is>
      </c>
      <c r="D150" s="1" t="n">
        <v>45133</v>
      </c>
      <c r="E150" s="1" t="n">
        <v>46269</v>
      </c>
      <c r="F150" t="inlineStr">
        <is>
          <t>SÖDERMANLANDS LÄN</t>
        </is>
      </c>
      <c r="G150" t="inlineStr">
        <is>
          <t>GNESTA</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45515-2024</t>
        </is>
      </c>
      <c r="B151" t="inlineStr">
        <is>
          <t>avverkningsanmälan</t>
        </is>
      </c>
      <c r="C151" t="inlineStr">
        <is>
          <t>Föryngringsavverkning</t>
        </is>
      </c>
      <c r="D151" s="1" t="n">
        <v>45578</v>
      </c>
      <c r="E151" s="1" t="n">
        <v>46269</v>
      </c>
      <c r="F151" t="inlineStr">
        <is>
          <t>SÖDERMANLANDS LÄN</t>
        </is>
      </c>
      <c r="G151" t="inlineStr">
        <is>
          <t>GNESTA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11726-2023</t>
        </is>
      </c>
      <c r="B152" t="inlineStr">
        <is>
          <t>avverkningsanmälan</t>
        </is>
      </c>
      <c r="C152" t="inlineStr">
        <is>
          <t>Föryngringsavverkning</t>
        </is>
      </c>
      <c r="D152" s="1" t="n">
        <v>44994</v>
      </c>
      <c r="E152" s="1" t="n">
        <v>46269</v>
      </c>
      <c r="F152" t="inlineStr">
        <is>
          <t>SÖDERMANLANDS LÄN</t>
        </is>
      </c>
      <c r="G152" t="inlineStr">
        <is>
          <t>GNESTA</t>
        </is>
      </c>
      <c r="I152" t="n">
        <v>13.4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56799-2021</t>
        </is>
      </c>
      <c r="B153" t="inlineStr">
        <is>
          <t>avverkningsanmälan</t>
        </is>
      </c>
      <c r="C153" t="inlineStr">
        <is>
          <t>Föryngringsavverkning</t>
        </is>
      </c>
      <c r="D153" s="1" t="n">
        <v>44481</v>
      </c>
      <c r="E153" s="1" t="n">
        <v>46269</v>
      </c>
      <c r="F153" t="inlineStr">
        <is>
          <t>SÖDERMANLANDS LÄN</t>
        </is>
      </c>
      <c r="G153" t="inlineStr">
        <is>
          <t>GNESTA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42516-2022</t>
        </is>
      </c>
      <c r="B154" t="inlineStr">
        <is>
          <t>avverkningsanmälan</t>
        </is>
      </c>
      <c r="C154" t="inlineStr">
        <is>
          <t>Föryngringsavverkning</t>
        </is>
      </c>
      <c r="D154" s="1" t="n">
        <v>44831</v>
      </c>
      <c r="E154" s="1" t="n">
        <v>46269</v>
      </c>
      <c r="F154" t="inlineStr">
        <is>
          <t>SÖDERMANLANDS LÄN</t>
        </is>
      </c>
      <c r="G154" t="inlineStr">
        <is>
          <t>GNESTA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42520-2022</t>
        </is>
      </c>
      <c r="B155" t="inlineStr">
        <is>
          <t>avverkningsanmälan</t>
        </is>
      </c>
      <c r="C155" t="inlineStr">
        <is>
          <t>Föryngringsavverkning</t>
        </is>
      </c>
      <c r="D155" s="1" t="n">
        <v>44831</v>
      </c>
      <c r="E155" s="1" t="n">
        <v>46269</v>
      </c>
      <c r="F155" t="inlineStr">
        <is>
          <t>SÖDERMANLANDS LÄN</t>
        </is>
      </c>
      <c r="G155" t="inlineStr">
        <is>
          <t>GNESTA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41260-2023</t>
        </is>
      </c>
      <c r="B156" t="inlineStr">
        <is>
          <t>avverkningsanmälan</t>
        </is>
      </c>
      <c r="C156" t="inlineStr">
        <is>
          <t>Föryngringsavverkning</t>
        </is>
      </c>
      <c r="D156" s="1" t="n">
        <v>45174</v>
      </c>
      <c r="E156" s="1" t="n">
        <v>46269</v>
      </c>
      <c r="F156" t="inlineStr">
        <is>
          <t>SÖDERMANLANDS LÄN</t>
        </is>
      </c>
      <c r="G156" t="inlineStr">
        <is>
          <t>GNESTA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6086-2022</t>
        </is>
      </c>
      <c r="B157" t="inlineStr">
        <is>
          <t>avverkningsanmälan</t>
        </is>
      </c>
      <c r="C157" t="inlineStr">
        <is>
          <t>Föryngringsavverkning</t>
        </is>
      </c>
      <c r="D157" s="1" t="n">
        <v>44599</v>
      </c>
      <c r="E157" s="1" t="n">
        <v>46269</v>
      </c>
      <c r="F157" t="inlineStr">
        <is>
          <t>SÖDERMANLANDS LÄN</t>
        </is>
      </c>
      <c r="G157" t="inlineStr">
        <is>
          <t>GNESTA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6160-2022</t>
        </is>
      </c>
      <c r="B158" t="inlineStr">
        <is>
          <t>avverkningsanmälan</t>
        </is>
      </c>
      <c r="C158" t="inlineStr">
        <is>
          <t>Avverkning för annat ändamål</t>
        </is>
      </c>
      <c r="D158" s="1" t="n">
        <v>44599</v>
      </c>
      <c r="E158" s="1" t="n">
        <v>46269</v>
      </c>
      <c r="F158" t="inlineStr">
        <is>
          <t>SÖDERMANLANDS LÄN</t>
        </is>
      </c>
      <c r="G158" t="inlineStr">
        <is>
          <t>GNESTA</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72341-2021</t>
        </is>
      </c>
      <c r="B159" t="inlineStr">
        <is>
          <t>avverkningsanmälan</t>
        </is>
      </c>
      <c r="C159" t="inlineStr">
        <is>
          <t>Föryngringsavverkning</t>
        </is>
      </c>
      <c r="D159" s="1" t="n">
        <v>44545</v>
      </c>
      <c r="E159" s="1" t="n">
        <v>46269</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8995-2024</t>
        </is>
      </c>
      <c r="B160" t="inlineStr">
        <is>
          <t>avverkningsanmälan</t>
        </is>
      </c>
      <c r="C160" t="inlineStr">
        <is>
          <t>Föryngringsavverkning</t>
        </is>
      </c>
      <c r="D160" s="1" t="n">
        <v>45357</v>
      </c>
      <c r="E160" s="1" t="n">
        <v>46269</v>
      </c>
      <c r="F160" t="inlineStr">
        <is>
          <t>SÖDERMANLANDS LÄN</t>
        </is>
      </c>
      <c r="G160" t="inlineStr">
        <is>
          <t>GNESTA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20033-2022</t>
        </is>
      </c>
      <c r="B161" t="inlineStr">
        <is>
          <t>avverkningsanmälan</t>
        </is>
      </c>
      <c r="C161" t="inlineStr">
        <is>
          <t>Föryngringsavverkning</t>
        </is>
      </c>
      <c r="D161" s="1" t="n">
        <v>44697</v>
      </c>
      <c r="E161" s="1" t="n">
        <v>46269</v>
      </c>
      <c r="F161" t="inlineStr">
        <is>
          <t>SÖDERMANLANDS LÄN</t>
        </is>
      </c>
      <c r="G161" t="inlineStr">
        <is>
          <t>GNESTA</t>
        </is>
      </c>
      <c r="I161" t="n">
        <v>11.9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11929-2022</t>
        </is>
      </c>
      <c r="B162" t="inlineStr">
        <is>
          <t>avverkningsanmälan</t>
        </is>
      </c>
      <c r="C162" t="inlineStr">
        <is>
          <t>Föryngringsavverkning</t>
        </is>
      </c>
      <c r="D162" s="1" t="n">
        <v>44635</v>
      </c>
      <c r="E162" s="1" t="n">
        <v>46269</v>
      </c>
      <c r="F162" t="inlineStr">
        <is>
          <t>SÖDERMANLANDS LÄN</t>
        </is>
      </c>
      <c r="G162" t="inlineStr">
        <is>
          <t>GNESTA</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58205-2022</t>
        </is>
      </c>
      <c r="B163" t="inlineStr">
        <is>
          <t>avverkningsanmälan</t>
        </is>
      </c>
      <c r="C163" t="inlineStr">
        <is>
          <t>Föryngringsavverkning</t>
        </is>
      </c>
      <c r="D163" s="1" t="n">
        <v>44901</v>
      </c>
      <c r="E163" s="1" t="n">
        <v>46269</v>
      </c>
      <c r="F163" t="inlineStr">
        <is>
          <t>SÖDERMANLANDS LÄN</t>
        </is>
      </c>
      <c r="G163" t="inlineStr">
        <is>
          <t>GNESTA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62912-2023</t>
        </is>
      </c>
      <c r="B164" t="inlineStr">
        <is>
          <t>avverkningsanmälan</t>
        </is>
      </c>
      <c r="C164" t="inlineStr">
        <is>
          <t>Föryngringsavverkning</t>
        </is>
      </c>
      <c r="D164" s="1" t="n">
        <v>45272</v>
      </c>
      <c r="E164" s="1" t="n">
        <v>46269</v>
      </c>
      <c r="F164" t="inlineStr">
        <is>
          <t>SÖDERMANLANDS LÄN</t>
        </is>
      </c>
      <c r="G164" t="inlineStr">
        <is>
          <t>GNESTA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36843-2025</t>
        </is>
      </c>
      <c r="B165" t="inlineStr">
        <is>
          <t>avverkningsanmälan</t>
        </is>
      </c>
      <c r="C165" t="inlineStr">
        <is>
          <t>Föryngringsavverkning</t>
        </is>
      </c>
      <c r="D165" s="1" t="n">
        <v>45874</v>
      </c>
      <c r="E165" s="1" t="n">
        <v>46269</v>
      </c>
      <c r="F165" t="inlineStr">
        <is>
          <t>SÖDERMANLANDS LÄN</t>
        </is>
      </c>
      <c r="G165" t="inlineStr">
        <is>
          <t>GNESTA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1549-2022</t>
        </is>
      </c>
      <c r="B166" t="inlineStr">
        <is>
          <t>avverkningsanmälan</t>
        </is>
      </c>
      <c r="C166" t="inlineStr">
        <is>
          <t>Föryngringsavverkning</t>
        </is>
      </c>
      <c r="D166" s="1" t="n">
        <v>44573</v>
      </c>
      <c r="E166" s="1" t="n">
        <v>46269</v>
      </c>
      <c r="F166" t="inlineStr">
        <is>
          <t>SÖDERMANLANDS LÄN</t>
        </is>
      </c>
      <c r="G166" t="inlineStr">
        <is>
          <t>GNESTA</t>
        </is>
      </c>
      <c r="I166" t="n">
        <v>32.6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56442-2022</t>
        </is>
      </c>
      <c r="B167" t="inlineStr">
        <is>
          <t>avverkningsanmälan</t>
        </is>
      </c>
      <c r="C167" t="inlineStr">
        <is>
          <t>Föryngringsavverkning</t>
        </is>
      </c>
      <c r="D167" s="1" t="n">
        <v>44892</v>
      </c>
      <c r="E167" s="1" t="n">
        <v>46269</v>
      </c>
      <c r="F167" t="inlineStr">
        <is>
          <t>SÖDERMANLANDS LÄN</t>
        </is>
      </c>
      <c r="G167" t="inlineStr">
        <is>
          <t>GNESTA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54702-2021</t>
        </is>
      </c>
      <c r="B168" t="inlineStr">
        <is>
          <t>avverkningsanmälan</t>
        </is>
      </c>
      <c r="C168" t="inlineStr">
        <is>
          <t>Avverkning för annat ändamål</t>
        </is>
      </c>
      <c r="D168" s="1" t="n">
        <v>44473</v>
      </c>
      <c r="E168" s="1" t="n">
        <v>46269</v>
      </c>
      <c r="F168" t="inlineStr">
        <is>
          <t>SÖDERMANLANDS LÄN</t>
        </is>
      </c>
      <c r="G168" t="inlineStr">
        <is>
          <t>GNESTA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44050-2023</t>
        </is>
      </c>
      <c r="B169" t="inlineStr">
        <is>
          <t>avverkningsanmälan</t>
        </is>
      </c>
      <c r="C169" t="inlineStr">
        <is>
          <t>Föryngringsavverkning</t>
        </is>
      </c>
      <c r="D169" s="1" t="n">
        <v>45188</v>
      </c>
      <c r="E169" s="1" t="n">
        <v>46269</v>
      </c>
      <c r="F169" t="inlineStr">
        <is>
          <t>SÖDERMANLANDS LÄN</t>
        </is>
      </c>
      <c r="G169" t="inlineStr">
        <is>
          <t>GNESTA</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62889-2023</t>
        </is>
      </c>
      <c r="B170" t="inlineStr">
        <is>
          <t>avverkningsanmälan</t>
        </is>
      </c>
      <c r="C170" t="inlineStr">
        <is>
          <t>Föryngringsavverkning</t>
        </is>
      </c>
      <c r="D170" s="1" t="n">
        <v>45272</v>
      </c>
      <c r="E170" s="1" t="n">
        <v>46269</v>
      </c>
      <c r="F170" t="inlineStr">
        <is>
          <t>SÖDERMANLANDS LÄN</t>
        </is>
      </c>
      <c r="G170" t="inlineStr">
        <is>
          <t>GNESTA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5-2023</t>
        </is>
      </c>
      <c r="B171" t="inlineStr">
        <is>
          <t>avverkningsanmälan</t>
        </is>
      </c>
      <c r="C171" t="inlineStr">
        <is>
          <t>Föryngringsavverkning</t>
        </is>
      </c>
      <c r="D171" s="1" t="n">
        <v>44927</v>
      </c>
      <c r="E171" s="1" t="n">
        <v>46269</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51747-2023</t>
        </is>
      </c>
      <c r="B172" t="inlineStr">
        <is>
          <t>avverkningsanmälan</t>
        </is>
      </c>
      <c r="C172" t="inlineStr">
        <is>
          <t>Föryngringsavverkning</t>
        </is>
      </c>
      <c r="D172" s="1" t="n">
        <v>45222</v>
      </c>
      <c r="E172" s="1" t="n">
        <v>46269</v>
      </c>
      <c r="F172" t="inlineStr">
        <is>
          <t>SÖDERMANLANDS LÄN</t>
        </is>
      </c>
      <c r="G172" t="inlineStr">
        <is>
          <t>GNESTA</t>
        </is>
      </c>
      <c r="H172" t="inlineStr">
        <is>
          <t>Holmen skog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37502-2025</t>
        </is>
      </c>
      <c r="B173" t="inlineStr">
        <is>
          <t>avverkningsanmälan</t>
        </is>
      </c>
      <c r="C173" t="inlineStr">
        <is>
          <t>Föryngringsavverkning</t>
        </is>
      </c>
      <c r="D173" s="1" t="n">
        <v>45877</v>
      </c>
      <c r="E173" s="1" t="n">
        <v>46269</v>
      </c>
      <c r="F173" t="inlineStr">
        <is>
          <t>SÖDERMANLANDS LÄN</t>
        </is>
      </c>
      <c r="G173" t="inlineStr">
        <is>
          <t>GNESTA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62967-2023</t>
        </is>
      </c>
      <c r="B174" t="inlineStr">
        <is>
          <t>avverkningsanmälan</t>
        </is>
      </c>
      <c r="C174" t="inlineStr">
        <is>
          <t>Föryngringsavverkning</t>
        </is>
      </c>
      <c r="D174" s="1" t="n">
        <v>45272</v>
      </c>
      <c r="E174" s="1" t="n">
        <v>46269</v>
      </c>
      <c r="F174" t="inlineStr">
        <is>
          <t>SÖDERMANLANDS LÄN</t>
        </is>
      </c>
      <c r="G174" t="inlineStr">
        <is>
          <t>GNESTA</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28458-2023</t>
        </is>
      </c>
      <c r="B175" t="inlineStr">
        <is>
          <t>avverkningsanmälan</t>
        </is>
      </c>
      <c r="C175" t="inlineStr">
        <is>
          <t>Föryngringsavverkning</t>
        </is>
      </c>
      <c r="D175" s="1" t="n">
        <v>45103</v>
      </c>
      <c r="E175" s="1" t="n">
        <v>46269</v>
      </c>
      <c r="F175" t="inlineStr">
        <is>
          <t>SÖDERMANLANDS LÄN</t>
        </is>
      </c>
      <c r="G175" t="inlineStr">
        <is>
          <t>GNESTA</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49011-2022</t>
        </is>
      </c>
      <c r="B176" t="inlineStr">
        <is>
          <t>avverkningsanmälan</t>
        </is>
      </c>
      <c r="C176" t="inlineStr">
        <is>
          <t>Föryngringsavverkning</t>
        </is>
      </c>
      <c r="D176" s="1" t="n">
        <v>44860</v>
      </c>
      <c r="E176" s="1" t="n">
        <v>46269</v>
      </c>
      <c r="F176" t="inlineStr">
        <is>
          <t>SÖDERMANLANDS LÄN</t>
        </is>
      </c>
      <c r="G176" t="inlineStr">
        <is>
          <t>GNESTA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57601-2021</t>
        </is>
      </c>
      <c r="B177" t="inlineStr">
        <is>
          <t>avverkningsanmälan</t>
        </is>
      </c>
      <c r="C177" t="inlineStr">
        <is>
          <t>Föryngringsavverkning</t>
        </is>
      </c>
      <c r="D177" s="1" t="n">
        <v>44484</v>
      </c>
      <c r="E177" s="1" t="n">
        <v>46269</v>
      </c>
      <c r="F177" t="inlineStr">
        <is>
          <t>SÖDERMANLANDS LÄN</t>
        </is>
      </c>
      <c r="G177" t="inlineStr">
        <is>
          <t>GNESTA</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20168-2025</t>
        </is>
      </c>
      <c r="B178" t="inlineStr">
        <is>
          <t>avverkningsanmälan</t>
        </is>
      </c>
      <c r="C178" t="inlineStr">
        <is>
          <t>Föryngringsavverkning</t>
        </is>
      </c>
      <c r="D178" s="1" t="n">
        <v>45772</v>
      </c>
      <c r="E178" s="1" t="n">
        <v>46269</v>
      </c>
      <c r="F178" t="inlineStr">
        <is>
          <t>SÖDERMANLANDS LÄN</t>
        </is>
      </c>
      <c r="G178" t="inlineStr">
        <is>
          <t>GNESTA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67-2024</t>
        </is>
      </c>
      <c r="B179" t="inlineStr">
        <is>
          <t>avverkningsanmälan</t>
        </is>
      </c>
      <c r="C179" t="inlineStr">
        <is>
          <t>Föryngringsavverkning</t>
        </is>
      </c>
      <c r="D179" s="1" t="n">
        <v>45293</v>
      </c>
      <c r="E179" s="1" t="n">
        <v>46269</v>
      </c>
      <c r="F179" t="inlineStr">
        <is>
          <t>SÖDERMANLANDS LÄN</t>
        </is>
      </c>
      <c r="G179" t="inlineStr">
        <is>
          <t>GNESTA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44331-2024</t>
        </is>
      </c>
      <c r="B180" t="inlineStr">
        <is>
          <t>avverkningsanmälan</t>
        </is>
      </c>
      <c r="C180" t="inlineStr">
        <is>
          <t>Föryngringsavverkning</t>
        </is>
      </c>
      <c r="D180" s="1" t="n">
        <v>45573</v>
      </c>
      <c r="E180" s="1" t="n">
        <v>46269</v>
      </c>
      <c r="F180" t="inlineStr">
        <is>
          <t>SÖDERMANLANDS LÄN</t>
        </is>
      </c>
      <c r="G180" t="inlineStr">
        <is>
          <t>GNESTA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7644-2023</t>
        </is>
      </c>
      <c r="B181" t="inlineStr">
        <is>
          <t>avverkningsanmälan</t>
        </is>
      </c>
      <c r="C181" t="inlineStr">
        <is>
          <t>Föryngringsavverkning</t>
        </is>
      </c>
      <c r="D181" s="1" t="n">
        <v>44972</v>
      </c>
      <c r="E181" s="1" t="n">
        <v>46269</v>
      </c>
      <c r="F181" t="inlineStr">
        <is>
          <t>SÖDERMANLANDS LÄN</t>
        </is>
      </c>
      <c r="G181" t="inlineStr">
        <is>
          <t>GNESTA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3620-2025</t>
        </is>
      </c>
      <c r="B182" t="inlineStr">
        <is>
          <t>avverkningsanmälan</t>
        </is>
      </c>
      <c r="C182" t="inlineStr">
        <is>
          <t>Avverkning för annat ändamål</t>
        </is>
      </c>
      <c r="D182" s="1" t="n">
        <v>45681</v>
      </c>
      <c r="E182" s="1" t="n">
        <v>46269</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49614-2023</t>
        </is>
      </c>
      <c r="B183" t="inlineStr">
        <is>
          <t>avverkningsanmälan</t>
        </is>
      </c>
      <c r="C183" t="inlineStr">
        <is>
          <t>Föryngringsavverkning</t>
        </is>
      </c>
      <c r="D183" s="1" t="n">
        <v>45211</v>
      </c>
      <c r="E183" s="1" t="n">
        <v>46269</v>
      </c>
      <c r="F183" t="inlineStr">
        <is>
          <t>SÖDERMANLANDS LÄN</t>
        </is>
      </c>
      <c r="G183" t="inlineStr">
        <is>
          <t>GNESTA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49909-2023</t>
        </is>
      </c>
      <c r="B184" t="inlineStr">
        <is>
          <t>avverkningsanmälan</t>
        </is>
      </c>
      <c r="C184" t="inlineStr">
        <is>
          <t>Föryngringsavverkning</t>
        </is>
      </c>
      <c r="D184" s="1" t="n">
        <v>45214</v>
      </c>
      <c r="E184" s="1" t="n">
        <v>46269</v>
      </c>
      <c r="F184" t="inlineStr">
        <is>
          <t>SÖDERMANLANDS LÄN</t>
        </is>
      </c>
      <c r="G184" t="inlineStr">
        <is>
          <t>GNESTA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60295-2023</t>
        </is>
      </c>
      <c r="B185" t="inlineStr">
        <is>
          <t>avverkningsanmälan</t>
        </is>
      </c>
      <c r="C185" t="inlineStr">
        <is>
          <t>Föryngringsavverkning</t>
        </is>
      </c>
      <c r="D185" s="1" t="n">
        <v>45257</v>
      </c>
      <c r="E185" s="1" t="n">
        <v>46269</v>
      </c>
      <c r="F185" t="inlineStr">
        <is>
          <t>SÖDERMANLANDS LÄN</t>
        </is>
      </c>
      <c r="G185" t="inlineStr">
        <is>
          <t>GNESTA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45766-2023</t>
        </is>
      </c>
      <c r="B186" t="inlineStr">
        <is>
          <t>avverkningsanmälan</t>
        </is>
      </c>
      <c r="C186" t="inlineStr">
        <is>
          <t>Föryngringsavverkning</t>
        </is>
      </c>
      <c r="D186" s="1" t="n">
        <v>45195</v>
      </c>
      <c r="E186" s="1" t="n">
        <v>46269</v>
      </c>
      <c r="F186" t="inlineStr">
        <is>
          <t>SÖDERMANLANDS LÄN</t>
        </is>
      </c>
      <c r="G186" t="inlineStr">
        <is>
          <t>GNESTA</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68389-2021</t>
        </is>
      </c>
      <c r="B187" t="inlineStr">
        <is>
          <t>avverkningsanmälan</t>
        </is>
      </c>
      <c r="C187" t="inlineStr">
        <is>
          <t>Föryngringsavverkning</t>
        </is>
      </c>
      <c r="D187" s="1" t="n">
        <v>44529</v>
      </c>
      <c r="E187" s="1" t="n">
        <v>46269</v>
      </c>
      <c r="F187" t="inlineStr">
        <is>
          <t>SÖDERMANLANDS LÄN</t>
        </is>
      </c>
      <c r="G187" t="inlineStr">
        <is>
          <t>GNESTA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36205-2022</t>
        </is>
      </c>
      <c r="B188" t="inlineStr">
        <is>
          <t>avverkningsanmälan</t>
        </is>
      </c>
      <c r="C188" t="inlineStr">
        <is>
          <t>Föryngringsavverkning</t>
        </is>
      </c>
      <c r="D188" s="1" t="n">
        <v>44803</v>
      </c>
      <c r="E188" s="1" t="n">
        <v>46269</v>
      </c>
      <c r="F188" t="inlineStr">
        <is>
          <t>SÖDERMANLANDS LÄN</t>
        </is>
      </c>
      <c r="G188" t="inlineStr">
        <is>
          <t>GNESTA</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6394-2023</t>
        </is>
      </c>
      <c r="B189" t="inlineStr">
        <is>
          <t>avverkningsanmälan</t>
        </is>
      </c>
      <c r="C189" t="inlineStr">
        <is>
          <t>Föryngringsavverkning</t>
        </is>
      </c>
      <c r="D189" s="1" t="n">
        <v>44965</v>
      </c>
      <c r="E189" s="1" t="n">
        <v>46269</v>
      </c>
      <c r="F189" t="inlineStr">
        <is>
          <t>SÖDERMANLANDS LÄN</t>
        </is>
      </c>
      <c r="G189" t="inlineStr">
        <is>
          <t>GNESTA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38155-2025</t>
        </is>
      </c>
      <c r="B190" t="inlineStr">
        <is>
          <t>avverkningsanmälan</t>
        </is>
      </c>
      <c r="C190" t="inlineStr">
        <is>
          <t>Föryngringsavverkning</t>
        </is>
      </c>
      <c r="D190" s="1" t="n">
        <v>45882</v>
      </c>
      <c r="E190" s="1" t="n">
        <v>46269</v>
      </c>
      <c r="F190" t="inlineStr">
        <is>
          <t>SÖDERMANLANDS LÄN</t>
        </is>
      </c>
      <c r="G190" t="inlineStr">
        <is>
          <t>GNESTA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30911-2022</t>
        </is>
      </c>
      <c r="B191" t="inlineStr">
        <is>
          <t>avverkningsanmälan</t>
        </is>
      </c>
      <c r="C191" t="inlineStr">
        <is>
          <t>Föryngringsavverkning</t>
        </is>
      </c>
      <c r="D191" s="1" t="n">
        <v>44767</v>
      </c>
      <c r="E191" s="1" t="n">
        <v>46269</v>
      </c>
      <c r="F191" t="inlineStr">
        <is>
          <t>SÖDERMANLANDS LÄN</t>
        </is>
      </c>
      <c r="G191" t="inlineStr">
        <is>
          <t>GNESTA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38161-2025</t>
        </is>
      </c>
      <c r="B192" t="inlineStr">
        <is>
          <t>avverkningsanmälan</t>
        </is>
      </c>
      <c r="C192" t="inlineStr">
        <is>
          <t>Föryngringsavverkning</t>
        </is>
      </c>
      <c r="D192" s="1" t="n">
        <v>45882</v>
      </c>
      <c r="E192" s="1" t="n">
        <v>46269</v>
      </c>
      <c r="F192" t="inlineStr">
        <is>
          <t>SÖDERMANLANDS LÄN</t>
        </is>
      </c>
      <c r="G192" t="inlineStr">
        <is>
          <t>GNESTA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36308-2023</t>
        </is>
      </c>
      <c r="B193" t="inlineStr">
        <is>
          <t>avverkningsanmälan</t>
        </is>
      </c>
      <c r="C193" t="inlineStr">
        <is>
          <t>Föryngringsavverkning</t>
        </is>
      </c>
      <c r="D193" s="1" t="n">
        <v>45152</v>
      </c>
      <c r="E193" s="1" t="n">
        <v>46269</v>
      </c>
      <c r="F193" t="inlineStr">
        <is>
          <t>SÖDERMANLANDS LÄN</t>
        </is>
      </c>
      <c r="G193" t="inlineStr">
        <is>
          <t>GNESTA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3227-2023</t>
        </is>
      </c>
      <c r="B194" t="inlineStr">
        <is>
          <t>avverkningsanmälan</t>
        </is>
      </c>
      <c r="C194" t="inlineStr">
        <is>
          <t>Föryngringsavverkning</t>
        </is>
      </c>
      <c r="D194" s="1" t="n">
        <v>44946</v>
      </c>
      <c r="E194" s="1" t="n">
        <v>46269</v>
      </c>
      <c r="F194" t="inlineStr">
        <is>
          <t>SÖDERMANLANDS LÄN</t>
        </is>
      </c>
      <c r="G194" t="inlineStr">
        <is>
          <t>GNESTA</t>
        </is>
      </c>
      <c r="H194" t="inlineStr">
        <is>
          <t>Kommuner</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39964-2025</t>
        </is>
      </c>
      <c r="B195" t="inlineStr">
        <is>
          <t>avverkningsanmälan</t>
        </is>
      </c>
      <c r="C195" t="inlineStr">
        <is>
          <t>Föryngringsavverkning</t>
        </is>
      </c>
      <c r="D195" s="1" t="n">
        <v>45892</v>
      </c>
      <c r="E195" s="1" t="n">
        <v>46269</v>
      </c>
      <c r="F195" t="inlineStr">
        <is>
          <t>SÖDERMANLANDS LÄN</t>
        </is>
      </c>
      <c r="G195" t="inlineStr">
        <is>
          <t>GNESTA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62981-2023</t>
        </is>
      </c>
      <c r="B196" t="inlineStr">
        <is>
          <t>avverkningsanmälan</t>
        </is>
      </c>
      <c r="C196" t="inlineStr">
        <is>
          <t>Föryngringsavverkning</t>
        </is>
      </c>
      <c r="D196" s="1" t="n">
        <v>45272</v>
      </c>
      <c r="E196" s="1" t="n">
        <v>46269</v>
      </c>
      <c r="F196" t="inlineStr">
        <is>
          <t>SÖDERMANLANDS LÄN</t>
        </is>
      </c>
      <c r="G196" t="inlineStr">
        <is>
          <t>GNESTA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19889-2026</t>
        </is>
      </c>
      <c r="B197" t="inlineStr">
        <is>
          <t>avverkningsanmälan</t>
        </is>
      </c>
      <c r="C197" t="inlineStr">
        <is>
          <t>Föryngringsavverkning</t>
        </is>
      </c>
      <c r="D197" s="1" t="n">
        <v>46135</v>
      </c>
      <c r="E197" s="1" t="n">
        <v>46269</v>
      </c>
      <c r="F197" t="inlineStr">
        <is>
          <t>SÖDERMANLANDS LÄN</t>
        </is>
      </c>
      <c r="G197" t="inlineStr">
        <is>
          <t>GNESTA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25525-2024</t>
        </is>
      </c>
      <c r="B198" t="inlineStr">
        <is>
          <t>avverkningsanmälan</t>
        </is>
      </c>
      <c r="C198" t="inlineStr">
        <is>
          <t>Avverkning för annat ändamål</t>
        </is>
      </c>
      <c r="D198" s="1" t="n">
        <v>45463</v>
      </c>
      <c r="E198" s="1" t="n">
        <v>46269</v>
      </c>
      <c r="F198" t="inlineStr">
        <is>
          <t>SÖDERMANLANDS LÄN</t>
        </is>
      </c>
      <c r="G198" t="inlineStr">
        <is>
          <t>GNESTA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6536-2024</t>
        </is>
      </c>
      <c r="B199" t="inlineStr">
        <is>
          <t>avverkningsanmälan</t>
        </is>
      </c>
      <c r="C199" t="inlineStr">
        <is>
          <t>Föryngringsavverkning</t>
        </is>
      </c>
      <c r="D199" s="1" t="n">
        <v>45341</v>
      </c>
      <c r="E199" s="1" t="n">
        <v>46269</v>
      </c>
      <c r="F199" t="inlineStr">
        <is>
          <t>SÖDERMANLANDS LÄN</t>
        </is>
      </c>
      <c r="G199" t="inlineStr">
        <is>
          <t>GNESTA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7292-2023</t>
        </is>
      </c>
      <c r="B200" t="inlineStr">
        <is>
          <t>avverkningsanmälan</t>
        </is>
      </c>
      <c r="C200" t="inlineStr">
        <is>
          <t>Föryngringsavverkning</t>
        </is>
      </c>
      <c r="D200" s="1" t="n">
        <v>44970</v>
      </c>
      <c r="E200" s="1" t="n">
        <v>46269</v>
      </c>
      <c r="F200" t="inlineStr">
        <is>
          <t>SÖDERMANLANDS LÄN</t>
        </is>
      </c>
      <c r="G200" t="inlineStr">
        <is>
          <t>GNESTA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42200-2022</t>
        </is>
      </c>
      <c r="B201" t="inlineStr">
        <is>
          <t>avverkningsanmälan</t>
        </is>
      </c>
      <c r="C201" t="inlineStr">
        <is>
          <t>Föryngringsavverkning</t>
        </is>
      </c>
      <c r="D201" s="1" t="n">
        <v>44830</v>
      </c>
      <c r="E201" s="1" t="n">
        <v>46269</v>
      </c>
      <c r="F201" t="inlineStr">
        <is>
          <t>SÖDERMANLANDS LÄN</t>
        </is>
      </c>
      <c r="G201" t="inlineStr">
        <is>
          <t>GNESTA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8358-2024</t>
        </is>
      </c>
      <c r="B202" t="inlineStr">
        <is>
          <t>avverkningsanmälan</t>
        </is>
      </c>
      <c r="C202" t="inlineStr">
        <is>
          <t>Föryngringsavverkning</t>
        </is>
      </c>
      <c r="D202" s="1" t="n">
        <v>45352</v>
      </c>
      <c r="E202" s="1" t="n">
        <v>46269</v>
      </c>
      <c r="F202" t="inlineStr">
        <is>
          <t>SÖDERMANLANDS LÄN</t>
        </is>
      </c>
      <c r="G202" t="inlineStr">
        <is>
          <t>GNESTA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4391-2022</t>
        </is>
      </c>
      <c r="B203" t="inlineStr">
        <is>
          <t>avverkningsanmälan</t>
        </is>
      </c>
      <c r="C203" t="inlineStr">
        <is>
          <t>Föryngringsavverkning</t>
        </is>
      </c>
      <c r="D203" s="1" t="n">
        <v>44589</v>
      </c>
      <c r="E203" s="1" t="n">
        <v>46269</v>
      </c>
      <c r="F203" t="inlineStr">
        <is>
          <t>SÖDERMANLANDS LÄN</t>
        </is>
      </c>
      <c r="G203" t="inlineStr">
        <is>
          <t>GNESTA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43263-2025</t>
        </is>
      </c>
      <c r="B204" t="inlineStr">
        <is>
          <t>avverkningsanmälan</t>
        </is>
      </c>
      <c r="C204" t="inlineStr">
        <is>
          <t>Föryngringsavverkning</t>
        </is>
      </c>
      <c r="D204" s="1" t="n">
        <v>45910</v>
      </c>
      <c r="E204" s="1" t="n">
        <v>46269</v>
      </c>
      <c r="F204" t="inlineStr">
        <is>
          <t>SÖDERMANLANDS LÄN</t>
        </is>
      </c>
      <c r="G204" t="inlineStr">
        <is>
          <t>GNESTA</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34437-2023</t>
        </is>
      </c>
      <c r="B205" t="inlineStr">
        <is>
          <t>avverkningsanmälan</t>
        </is>
      </c>
      <c r="C205" t="inlineStr">
        <is>
          <t>Avverkning för annat ändamål</t>
        </is>
      </c>
      <c r="D205" s="1" t="n">
        <v>45133</v>
      </c>
      <c r="E205" s="1" t="n">
        <v>46269</v>
      </c>
      <c r="F205" t="inlineStr">
        <is>
          <t>SÖDERMANLANDS LÄN</t>
        </is>
      </c>
      <c r="G205" t="inlineStr">
        <is>
          <t>GNESTA</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73493-2021</t>
        </is>
      </c>
      <c r="B206" t="inlineStr">
        <is>
          <t>avverkningsanmälan</t>
        </is>
      </c>
      <c r="C206" t="inlineStr">
        <is>
          <t>Föryngringsavverkning</t>
        </is>
      </c>
      <c r="D206" s="1" t="n">
        <v>44551</v>
      </c>
      <c r="E206" s="1" t="n">
        <v>46269</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8437-2024</t>
        </is>
      </c>
      <c r="B207" t="inlineStr">
        <is>
          <t>avverkningsanmälan</t>
        </is>
      </c>
      <c r="C207" t="inlineStr">
        <is>
          <t>Föryngringsavverkning</t>
        </is>
      </c>
      <c r="D207" s="1" t="n">
        <v>45353</v>
      </c>
      <c r="E207" s="1" t="n">
        <v>46269</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44272-2025</t>
        </is>
      </c>
      <c r="B208" t="inlineStr">
        <is>
          <t>avverkningsanmälan</t>
        </is>
      </c>
      <c r="C208" t="inlineStr">
        <is>
          <t>Föryngringsavverkning</t>
        </is>
      </c>
      <c r="D208" s="1" t="n">
        <v>45916</v>
      </c>
      <c r="E208" s="1" t="n">
        <v>46269</v>
      </c>
      <c r="F208" t="inlineStr">
        <is>
          <t>SÖDERMANLANDS LÄN</t>
        </is>
      </c>
      <c r="G208" t="inlineStr">
        <is>
          <t>GNESTA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56611-2022</t>
        </is>
      </c>
      <c r="B209" t="inlineStr">
        <is>
          <t>avverkningsanmälan</t>
        </is>
      </c>
      <c r="C209" t="inlineStr">
        <is>
          <t>Föryngringsavverkning</t>
        </is>
      </c>
      <c r="D209" s="1" t="n">
        <v>44893</v>
      </c>
      <c r="E209" s="1" t="n">
        <v>46269</v>
      </c>
      <c r="F209" t="inlineStr">
        <is>
          <t>SÖDERMANLANDS LÄN</t>
        </is>
      </c>
      <c r="G209" t="inlineStr">
        <is>
          <t>GNESTA</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14078-2022</t>
        </is>
      </c>
      <c r="B210" t="inlineStr">
        <is>
          <t>avverkningsanmälan</t>
        </is>
      </c>
      <c r="C210" t="inlineStr">
        <is>
          <t>Föryngringsavverkning</t>
        </is>
      </c>
      <c r="D210" s="1" t="n">
        <v>44650</v>
      </c>
      <c r="E210" s="1" t="n">
        <v>46269</v>
      </c>
      <c r="F210" t="inlineStr">
        <is>
          <t>SÖDERMANLANDS LÄN</t>
        </is>
      </c>
      <c r="G210" t="inlineStr">
        <is>
          <t>GNESTA</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7054-2022</t>
        </is>
      </c>
      <c r="B211" t="inlineStr">
        <is>
          <t>avverkningsanmälan</t>
        </is>
      </c>
      <c r="C211" t="inlineStr">
        <is>
          <t>Avverkning för annat ändamål</t>
        </is>
      </c>
      <c r="D211" s="1" t="n">
        <v>44603</v>
      </c>
      <c r="E211" s="1" t="n">
        <v>46269</v>
      </c>
      <c r="F211" t="inlineStr">
        <is>
          <t>SÖDERMANLANDS LÄN</t>
        </is>
      </c>
      <c r="G211" t="inlineStr">
        <is>
          <t>GNESTA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58428-2022</t>
        </is>
      </c>
      <c r="B212" t="inlineStr">
        <is>
          <t>avverkningsanmälan</t>
        </is>
      </c>
      <c r="C212" t="inlineStr">
        <is>
          <t>Föryngringsavverkning</t>
        </is>
      </c>
      <c r="D212" s="1" t="n">
        <v>44901</v>
      </c>
      <c r="E212" s="1" t="n">
        <v>46269</v>
      </c>
      <c r="F212" t="inlineStr">
        <is>
          <t>SÖDERMANLANDS LÄN</t>
        </is>
      </c>
      <c r="G212" t="inlineStr">
        <is>
          <t>GNESTA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49332-2025</t>
        </is>
      </c>
      <c r="B213" t="inlineStr">
        <is>
          <t>avverkningsanmälan</t>
        </is>
      </c>
      <c r="C213" t="inlineStr">
        <is>
          <t>Föryngringsavverkning</t>
        </is>
      </c>
      <c r="D213" s="1" t="n">
        <v>45938</v>
      </c>
      <c r="E213" s="1" t="n">
        <v>46269</v>
      </c>
      <c r="F213" t="inlineStr">
        <is>
          <t>SÖDERMANLANDS LÄN</t>
        </is>
      </c>
      <c r="G213" t="inlineStr">
        <is>
          <t>GNESTA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37197-2025</t>
        </is>
      </c>
      <c r="B214" t="inlineStr">
        <is>
          <t>avverkningsanmälan</t>
        </is>
      </c>
      <c r="C214" t="inlineStr">
        <is>
          <t>Föryngringsavverkning</t>
        </is>
      </c>
      <c r="D214" s="1" t="n">
        <v>45875</v>
      </c>
      <c r="E214" s="1" t="n">
        <v>46269</v>
      </c>
      <c r="F214" t="inlineStr">
        <is>
          <t>SÖDERMANLANDS LÄN</t>
        </is>
      </c>
      <c r="G214" t="inlineStr">
        <is>
          <t>GNESTA</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9884-2025</t>
        </is>
      </c>
      <c r="B215" t="inlineStr">
        <is>
          <t>avverkningsanmälan</t>
        </is>
      </c>
      <c r="C215" t="inlineStr">
        <is>
          <t>Föryngringsavverkning</t>
        </is>
      </c>
      <c r="D215" s="1" t="n">
        <v>45716</v>
      </c>
      <c r="E215" s="1" t="n">
        <v>46269</v>
      </c>
      <c r="F215" t="inlineStr">
        <is>
          <t>SÖDERMANLANDS LÄN</t>
        </is>
      </c>
      <c r="G215" t="inlineStr">
        <is>
          <t>GNESTA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33833-2024</t>
        </is>
      </c>
      <c r="B216" t="inlineStr">
        <is>
          <t>avverkningsanmälan</t>
        </is>
      </c>
      <c r="C216" t="inlineStr">
        <is>
          <t>Föryngringsavverkning</t>
        </is>
      </c>
      <c r="D216" s="1" t="n">
        <v>45520</v>
      </c>
      <c r="E216" s="1" t="n">
        <v>46269</v>
      </c>
      <c r="F216" t="inlineStr">
        <is>
          <t>SÖDERMANLANDS LÄN</t>
        </is>
      </c>
      <c r="G216" t="inlineStr">
        <is>
          <t>GNESTA</t>
        </is>
      </c>
      <c r="H216" t="inlineStr">
        <is>
          <t>Holmen skog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16645-2022</t>
        </is>
      </c>
      <c r="B217" t="inlineStr">
        <is>
          <t>avverkningsanmälan</t>
        </is>
      </c>
      <c r="C217" t="inlineStr">
        <is>
          <t>Föryngringsavverkning</t>
        </is>
      </c>
      <c r="D217" s="1" t="n">
        <v>44672</v>
      </c>
      <c r="E217" s="1" t="n">
        <v>46269</v>
      </c>
      <c r="F217" t="inlineStr">
        <is>
          <t>SÖDERMANLANDS LÄN</t>
        </is>
      </c>
      <c r="G217" t="inlineStr">
        <is>
          <t>GNESTA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5911-2023</t>
        </is>
      </c>
      <c r="B218" t="inlineStr">
        <is>
          <t>avverkningsanmälan</t>
        </is>
      </c>
      <c r="C218" t="inlineStr">
        <is>
          <t>Föryngringsavverkning</t>
        </is>
      </c>
      <c r="D218" s="1" t="n">
        <v>44963</v>
      </c>
      <c r="E218" s="1" t="n">
        <v>46269</v>
      </c>
      <c r="F218" t="inlineStr">
        <is>
          <t>SÖDERMANLANDS LÄN</t>
        </is>
      </c>
      <c r="G218" t="inlineStr">
        <is>
          <t>GNESTA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2476-2022</t>
        </is>
      </c>
      <c r="B219" t="inlineStr">
        <is>
          <t>avverkningsanmälan</t>
        </is>
      </c>
      <c r="C219" t="inlineStr">
        <is>
          <t>Föryngringsavverkning</t>
        </is>
      </c>
      <c r="D219" s="1" t="n">
        <v>44579</v>
      </c>
      <c r="E219" s="1" t="n">
        <v>46269</v>
      </c>
      <c r="F219" t="inlineStr">
        <is>
          <t>SÖDERMANLANDS LÄN</t>
        </is>
      </c>
      <c r="G219" t="inlineStr">
        <is>
          <t>GNESTA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47314-2021</t>
        </is>
      </c>
      <c r="B220" t="inlineStr">
        <is>
          <t>avverkningsanmälan</t>
        </is>
      </c>
      <c r="C220" t="inlineStr">
        <is>
          <t>Föryngringsavverkning</t>
        </is>
      </c>
      <c r="D220" s="1" t="n">
        <v>44447</v>
      </c>
      <c r="E220" s="1" t="n">
        <v>46269</v>
      </c>
      <c r="F220" t="inlineStr">
        <is>
          <t>SÖDERMANLANDS LÄN</t>
        </is>
      </c>
      <c r="G220" t="inlineStr">
        <is>
          <t>GNESTA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30627-2024</t>
        </is>
      </c>
      <c r="B221" t="inlineStr">
        <is>
          <t>avverkningsanmälan</t>
        </is>
      </c>
      <c r="C221" t="inlineStr">
        <is>
          <t>Föryngringsavverkning</t>
        </is>
      </c>
      <c r="D221" s="1" t="n">
        <v>45495</v>
      </c>
      <c r="E221" s="1" t="n">
        <v>46269</v>
      </c>
      <c r="F221" t="inlineStr">
        <is>
          <t>SÖDERMANLANDS LÄN</t>
        </is>
      </c>
      <c r="G221" t="inlineStr">
        <is>
          <t>GNESTA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57183-2025</t>
        </is>
      </c>
      <c r="B222" t="inlineStr">
        <is>
          <t>avverkningsanmälan</t>
        </is>
      </c>
      <c r="C222" t="inlineStr">
        <is>
          <t>Föryngringsavverkning</t>
        </is>
      </c>
      <c r="D222" s="1" t="n">
        <v>45979</v>
      </c>
      <c r="E222" s="1" t="n">
        <v>46269</v>
      </c>
      <c r="F222" t="inlineStr">
        <is>
          <t>SÖDERMANLANDS LÄN</t>
        </is>
      </c>
      <c r="G222" t="inlineStr">
        <is>
          <t>GNESTA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57341-2025</t>
        </is>
      </c>
      <c r="B223" t="inlineStr">
        <is>
          <t>avverkningsanmälan</t>
        </is>
      </c>
      <c r="C223" t="inlineStr">
        <is>
          <t>Föryngringsavverkning</t>
        </is>
      </c>
      <c r="D223" s="1" t="n">
        <v>45979</v>
      </c>
      <c r="E223" s="1" t="n">
        <v>46269</v>
      </c>
      <c r="F223" t="inlineStr">
        <is>
          <t>SÖDERMANLANDS LÄN</t>
        </is>
      </c>
      <c r="G223" t="inlineStr">
        <is>
          <t>GNESTA</t>
        </is>
      </c>
      <c r="I223" t="n">
        <v>17.5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10662-2024</t>
        </is>
      </c>
      <c r="B224" t="inlineStr">
        <is>
          <t>avverkningsanmälan</t>
        </is>
      </c>
      <c r="C224" t="inlineStr">
        <is>
          <t>Föryngringsavverkning</t>
        </is>
      </c>
      <c r="D224" s="1" t="n">
        <v>45369</v>
      </c>
      <c r="E224" s="1" t="n">
        <v>46269</v>
      </c>
      <c r="F224" t="inlineStr">
        <is>
          <t>SÖDERMANLANDS LÄN</t>
        </is>
      </c>
      <c r="G224" t="inlineStr">
        <is>
          <t>GNESTA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61134-2024</t>
        </is>
      </c>
      <c r="B225" t="inlineStr">
        <is>
          <t>avverkningsanmälan</t>
        </is>
      </c>
      <c r="C225" t="inlineStr">
        <is>
          <t>Föryngringsavverkning</t>
        </is>
      </c>
      <c r="D225" s="1" t="n">
        <v>45645</v>
      </c>
      <c r="E225" s="1" t="n">
        <v>46269</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60193-2025</t>
        </is>
      </c>
      <c r="B226" t="inlineStr">
        <is>
          <t>avverkningsanmälan</t>
        </is>
      </c>
      <c r="C226" t="inlineStr">
        <is>
          <t>Föryngringsavverkning</t>
        </is>
      </c>
      <c r="D226" s="1" t="n">
        <v>45994</v>
      </c>
      <c r="E226" s="1" t="n">
        <v>46269</v>
      </c>
      <c r="F226" t="inlineStr">
        <is>
          <t>SÖDERMANLANDS LÄN</t>
        </is>
      </c>
      <c r="G226" t="inlineStr">
        <is>
          <t>GNESTA</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26098-2026</t>
        </is>
      </c>
      <c r="B227" t="inlineStr">
        <is>
          <t>avverkningsanmälan</t>
        </is>
      </c>
      <c r="C227" t="inlineStr">
        <is>
          <t>Föryngringsavverkning</t>
        </is>
      </c>
      <c r="D227" s="1" t="n">
        <v>46181</v>
      </c>
      <c r="E227" s="1" t="n">
        <v>46269</v>
      </c>
      <c r="F227" t="inlineStr">
        <is>
          <t>SÖDERMANLANDS LÄN</t>
        </is>
      </c>
      <c r="G227" t="inlineStr">
        <is>
          <t>GNESTA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26084-2026</t>
        </is>
      </c>
      <c r="B228" t="inlineStr">
        <is>
          <t>avverkningsanmälan</t>
        </is>
      </c>
      <c r="C228" t="inlineStr">
        <is>
          <t>Föryngringsavverkning</t>
        </is>
      </c>
      <c r="D228" s="1" t="n">
        <v>46181</v>
      </c>
      <c r="E228" s="1" t="n">
        <v>46269</v>
      </c>
      <c r="F228" t="inlineStr">
        <is>
          <t>SÖDERMANLANDS LÄN</t>
        </is>
      </c>
      <c r="G228" t="inlineStr">
        <is>
          <t>GNESTA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62020-2022</t>
        </is>
      </c>
      <c r="B229" t="inlineStr">
        <is>
          <t>avverkningsanmälan</t>
        </is>
      </c>
      <c r="C229" t="inlineStr">
        <is>
          <t>Föryngringsavverkning</t>
        </is>
      </c>
      <c r="D229" s="1" t="n">
        <v>44918</v>
      </c>
      <c r="E229" s="1" t="n">
        <v>46269</v>
      </c>
      <c r="F229" t="inlineStr">
        <is>
          <t>SÖDERMANLANDS LÄN</t>
        </is>
      </c>
      <c r="G229" t="inlineStr">
        <is>
          <t>GNESTA</t>
        </is>
      </c>
      <c r="H229" t="inlineStr">
        <is>
          <t>Kommuner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55619-2024</t>
        </is>
      </c>
      <c r="B230" t="inlineStr">
        <is>
          <t>avverkningsanmälan</t>
        </is>
      </c>
      <c r="C230" t="inlineStr">
        <is>
          <t>Föryngringsavverkning</t>
        </is>
      </c>
      <c r="D230" s="1" t="n">
        <v>45622</v>
      </c>
      <c r="E230" s="1" t="n">
        <v>46269</v>
      </c>
      <c r="F230" t="inlineStr">
        <is>
          <t>SÖDERMANLANDS LÄN</t>
        </is>
      </c>
      <c r="G230" t="inlineStr">
        <is>
          <t>GNESTA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62071-2025</t>
        </is>
      </c>
      <c r="B231" t="inlineStr">
        <is>
          <t>avverkningsanmälan</t>
        </is>
      </c>
      <c r="C231" t="inlineStr">
        <is>
          <t>Föryngringsavverkning</t>
        </is>
      </c>
      <c r="D231" s="1" t="n">
        <v>46006</v>
      </c>
      <c r="E231" s="1" t="n">
        <v>46269</v>
      </c>
      <c r="F231" t="inlineStr">
        <is>
          <t>SÖDERMANLANDS LÄN</t>
        </is>
      </c>
      <c r="G231" t="inlineStr">
        <is>
          <t>GNESTA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62740-2025</t>
        </is>
      </c>
      <c r="B232" t="inlineStr">
        <is>
          <t>avverkningsanmälan</t>
        </is>
      </c>
      <c r="C232" t="inlineStr">
        <is>
          <t>Föryngringsavverkning</t>
        </is>
      </c>
      <c r="D232" s="1" t="n">
        <v>46008</v>
      </c>
      <c r="E232" s="1" t="n">
        <v>46269</v>
      </c>
      <c r="F232" t="inlineStr">
        <is>
          <t>SÖDERMANLANDS LÄN</t>
        </is>
      </c>
      <c r="G232" t="inlineStr">
        <is>
          <t>GNESTA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62503-2025</t>
        </is>
      </c>
      <c r="B233" t="inlineStr">
        <is>
          <t>avverkningsanmälan</t>
        </is>
      </c>
      <c r="C233" t="inlineStr">
        <is>
          <t>Föryngringsavverkning</t>
        </is>
      </c>
      <c r="D233" s="1" t="n">
        <v>46007</v>
      </c>
      <c r="E233" s="1" t="n">
        <v>46269</v>
      </c>
      <c r="F233" t="inlineStr">
        <is>
          <t>SÖDERMANLANDS LÄN</t>
        </is>
      </c>
      <c r="G233" t="inlineStr">
        <is>
          <t>GNESTA</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19364-2024</t>
        </is>
      </c>
      <c r="B234" t="inlineStr">
        <is>
          <t>avverkningsanmälan</t>
        </is>
      </c>
      <c r="C234" t="inlineStr">
        <is>
          <t>Föryngringsavverkning</t>
        </is>
      </c>
      <c r="D234" s="1" t="n">
        <v>45429</v>
      </c>
      <c r="E234" s="1" t="n">
        <v>46269</v>
      </c>
      <c r="F234" t="inlineStr">
        <is>
          <t>SÖDERMANLANDS LÄN</t>
        </is>
      </c>
      <c r="G234" t="inlineStr">
        <is>
          <t>GNESTA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51375-2022</t>
        </is>
      </c>
      <c r="B235" t="inlineStr">
        <is>
          <t>avverkningsanmälan</t>
        </is>
      </c>
      <c r="C235" t="inlineStr">
        <is>
          <t>Föryngringsavverkning</t>
        </is>
      </c>
      <c r="D235" s="1" t="n">
        <v>44869</v>
      </c>
      <c r="E235" s="1" t="n">
        <v>46269</v>
      </c>
      <c r="F235" t="inlineStr">
        <is>
          <t>SÖDERMANLANDS LÄN</t>
        </is>
      </c>
      <c r="G235" t="inlineStr">
        <is>
          <t>GNESTA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28816-2026</t>
        </is>
      </c>
      <c r="B236" t="inlineStr">
        <is>
          <t>avverkningsanmälan</t>
        </is>
      </c>
      <c r="C236" t="inlineStr">
        <is>
          <t>Föryngringsavverkning</t>
        </is>
      </c>
      <c r="D236" s="1" t="n">
        <v>46198</v>
      </c>
      <c r="E236" s="1" t="n">
        <v>46269</v>
      </c>
      <c r="F236" t="inlineStr">
        <is>
          <t>SÖDERMANLANDS LÄN</t>
        </is>
      </c>
      <c r="G236" t="inlineStr">
        <is>
          <t>GNESTA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28850-2026</t>
        </is>
      </c>
      <c r="B237" t="inlineStr">
        <is>
          <t>avverkningsanmälan</t>
        </is>
      </c>
      <c r="C237" t="inlineStr">
        <is>
          <t>Föryngringsavverkning</t>
        </is>
      </c>
      <c r="D237" s="1" t="n">
        <v>46198</v>
      </c>
      <c r="E237" s="1" t="n">
        <v>46269</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28848-2026</t>
        </is>
      </c>
      <c r="B238" t="inlineStr">
        <is>
          <t>avverkningsanmälan</t>
        </is>
      </c>
      <c r="C238" t="inlineStr">
        <is>
          <t>Föryngringsavverkning</t>
        </is>
      </c>
      <c r="D238" s="1" t="n">
        <v>46198</v>
      </c>
      <c r="E238" s="1" t="n">
        <v>46269</v>
      </c>
      <c r="F238" t="inlineStr">
        <is>
          <t>SÖDERMANLANDS LÄN</t>
        </is>
      </c>
      <c r="G238" t="inlineStr">
        <is>
          <t>GNESTA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28812-2026</t>
        </is>
      </c>
      <c r="B239" t="inlineStr">
        <is>
          <t>avverkningsanmälan</t>
        </is>
      </c>
      <c r="C239" t="inlineStr">
        <is>
          <t>Föryngringsavverkning</t>
        </is>
      </c>
      <c r="D239" s="1" t="n">
        <v>46198</v>
      </c>
      <c r="E239" s="1" t="n">
        <v>46269</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28840-2026</t>
        </is>
      </c>
      <c r="B240" t="inlineStr">
        <is>
          <t>avverkningsanmälan</t>
        </is>
      </c>
      <c r="C240" t="inlineStr">
        <is>
          <t>Föryngringsavverkning</t>
        </is>
      </c>
      <c r="D240" s="1" t="n">
        <v>46198</v>
      </c>
      <c r="E240" s="1" t="n">
        <v>46269</v>
      </c>
      <c r="F240" t="inlineStr">
        <is>
          <t>SÖDERMANLANDS LÄN</t>
        </is>
      </c>
      <c r="G240" t="inlineStr">
        <is>
          <t>GNESTA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28852-2026</t>
        </is>
      </c>
      <c r="B241" t="inlineStr">
        <is>
          <t>avverkningsanmälan</t>
        </is>
      </c>
      <c r="C241" t="inlineStr">
        <is>
          <t>Föryngringsavverkning</t>
        </is>
      </c>
      <c r="D241" s="1" t="n">
        <v>46198</v>
      </c>
      <c r="E241" s="1" t="n">
        <v>46269</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28811-2026</t>
        </is>
      </c>
      <c r="B242" t="inlineStr">
        <is>
          <t>avverkningsanmälan</t>
        </is>
      </c>
      <c r="C242" t="inlineStr">
        <is>
          <t>Föryngringsavverkning</t>
        </is>
      </c>
      <c r="D242" s="1" t="n">
        <v>46198</v>
      </c>
      <c r="E242" s="1" t="n">
        <v>46269</v>
      </c>
      <c r="F242" t="inlineStr">
        <is>
          <t>SÖDERMANLANDS LÄN</t>
        </is>
      </c>
      <c r="G242" t="inlineStr">
        <is>
          <t>GNESTA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28823-2026</t>
        </is>
      </c>
      <c r="B243" t="inlineStr">
        <is>
          <t>avverkningsanmälan</t>
        </is>
      </c>
      <c r="C243" t="inlineStr">
        <is>
          <t>Föryngringsavverkning</t>
        </is>
      </c>
      <c r="D243" s="1" t="n">
        <v>46198</v>
      </c>
      <c r="E243" s="1" t="n">
        <v>46269</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5509-2026</t>
        </is>
      </c>
      <c r="B244" t="inlineStr">
        <is>
          <t>avverkningsanmälan</t>
        </is>
      </c>
      <c r="C244" t="inlineStr">
        <is>
          <t>Föryngringsavverkning</t>
        </is>
      </c>
      <c r="D244" s="1" t="n">
        <v>46050</v>
      </c>
      <c r="E244" s="1" t="n">
        <v>46269</v>
      </c>
      <c r="F244" t="inlineStr">
        <is>
          <t>SÖDERMANLANDS LÄN</t>
        </is>
      </c>
      <c r="G244" t="inlineStr">
        <is>
          <t>GNESTA</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44627-2023</t>
        </is>
      </c>
      <c r="B245" t="inlineStr">
        <is>
          <t>avverkningsanmälan</t>
        </is>
      </c>
      <c r="C245" t="inlineStr">
        <is>
          <t>Föryngringsavverkning</t>
        </is>
      </c>
      <c r="D245" s="1" t="n">
        <v>45189</v>
      </c>
      <c r="E245" s="1" t="n">
        <v>46269</v>
      </c>
      <c r="F245" t="inlineStr">
        <is>
          <t>SÖDERMANLANDS LÄN</t>
        </is>
      </c>
      <c r="G245" t="inlineStr">
        <is>
          <t>GNESTA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33263-2026</t>
        </is>
      </c>
      <c r="B246" t="inlineStr">
        <is>
          <t>avverkningsanmälan</t>
        </is>
      </c>
      <c r="C246" t="inlineStr">
        <is>
          <t>Föryngringsavverkning</t>
        </is>
      </c>
      <c r="D246" s="1" t="n">
        <v>46246</v>
      </c>
      <c r="E246" s="1" t="n">
        <v>46269</v>
      </c>
      <c r="F246" t="inlineStr">
        <is>
          <t>SÖDERMANLANDS LÄN</t>
        </is>
      </c>
      <c r="G246" t="inlineStr">
        <is>
          <t>GNESTA</t>
        </is>
      </c>
      <c r="H246" t="inlineStr">
        <is>
          <t>Övriga Aktiebolag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5928-2023</t>
        </is>
      </c>
      <c r="B247" t="inlineStr">
        <is>
          <t>avverkningsanmälan</t>
        </is>
      </c>
      <c r="C247" t="inlineStr">
        <is>
          <t>Föryngringsavverkning</t>
        </is>
      </c>
      <c r="D247" s="1" t="n">
        <v>44963</v>
      </c>
      <c r="E247" s="1" t="n">
        <v>46269</v>
      </c>
      <c r="F247" t="inlineStr">
        <is>
          <t>SÖDERMANLANDS LÄN</t>
        </is>
      </c>
      <c r="G247" t="inlineStr">
        <is>
          <t>GNESTA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46269</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20986-2023</t>
        </is>
      </c>
      <c r="B249" t="inlineStr">
        <is>
          <t>avverkningsanmälan</t>
        </is>
      </c>
      <c r="C249" t="inlineStr">
        <is>
          <t>Föryngringsavverkning</t>
        </is>
      </c>
      <c r="D249" s="1" t="n">
        <v>45061</v>
      </c>
      <c r="E249" s="1" t="n">
        <v>46269</v>
      </c>
      <c r="F249" t="inlineStr">
        <is>
          <t>SÖDERMANLANDS LÄN</t>
        </is>
      </c>
      <c r="G249" t="inlineStr">
        <is>
          <t>GNESTA</t>
        </is>
      </c>
      <c r="H249" t="inlineStr">
        <is>
          <t>Övriga Aktiebolag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7745-2026</t>
        </is>
      </c>
      <c r="B250" t="inlineStr">
        <is>
          <t>avverkningsanmälan</t>
        </is>
      </c>
      <c r="C250" t="inlineStr">
        <is>
          <t>Föryngringsavverkning</t>
        </is>
      </c>
      <c r="D250" s="1" t="n">
        <v>46062</v>
      </c>
      <c r="E250" s="1" t="n">
        <v>46269</v>
      </c>
      <c r="F250" t="inlineStr">
        <is>
          <t>SÖDERMANLANDS LÄN</t>
        </is>
      </c>
      <c r="G250" t="inlineStr">
        <is>
          <t>GNESTA</t>
        </is>
      </c>
      <c r="H250" t="inlineStr">
        <is>
          <t>Allmännings- och besparingsskogar</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7835-2026</t>
        </is>
      </c>
      <c r="B251" t="inlineStr">
        <is>
          <t>avverkningsanmälan</t>
        </is>
      </c>
      <c r="C251" t="inlineStr">
        <is>
          <t>Föryngringsavverkning</t>
        </is>
      </c>
      <c r="D251" s="1" t="n">
        <v>46062</v>
      </c>
      <c r="E251" s="1" t="n">
        <v>46269</v>
      </c>
      <c r="F251" t="inlineStr">
        <is>
          <t>SÖDERMANLANDS LÄN</t>
        </is>
      </c>
      <c r="G251" t="inlineStr">
        <is>
          <t>GNESTA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26138-2024</t>
        </is>
      </c>
      <c r="B252" t="inlineStr">
        <is>
          <t>avverkningsanmälan</t>
        </is>
      </c>
      <c r="C252" t="inlineStr">
        <is>
          <t>Föryngringsavverkning</t>
        </is>
      </c>
      <c r="D252" s="1" t="n">
        <v>45468</v>
      </c>
      <c r="E252" s="1" t="n">
        <v>46269</v>
      </c>
      <c r="F252" t="inlineStr">
        <is>
          <t>SÖDERMANLANDS LÄN</t>
        </is>
      </c>
      <c r="G252" t="inlineStr">
        <is>
          <t>GNESTA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26141-2024</t>
        </is>
      </c>
      <c r="B253" t="inlineStr">
        <is>
          <t>avverkningsanmälan</t>
        </is>
      </c>
      <c r="C253" t="inlineStr">
        <is>
          <t>Föryngringsavverkning</t>
        </is>
      </c>
      <c r="D253" s="1" t="n">
        <v>45468</v>
      </c>
      <c r="E253" s="1" t="n">
        <v>46269</v>
      </c>
      <c r="F253" t="inlineStr">
        <is>
          <t>SÖDERMANLANDS LÄN</t>
        </is>
      </c>
      <c r="G253" t="inlineStr">
        <is>
          <t>GNESTA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30130-2026</t>
        </is>
      </c>
      <c r="B254" t="inlineStr">
        <is>
          <t>avverkningsanmälan</t>
        </is>
      </c>
      <c r="C254" t="inlineStr">
        <is>
          <t>Föryngringsavverkning</t>
        </is>
      </c>
      <c r="D254" s="1" t="n">
        <v>46206</v>
      </c>
      <c r="E254" s="1" t="n">
        <v>46269</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30135-2026</t>
        </is>
      </c>
      <c r="B255" t="inlineStr">
        <is>
          <t>avverkningsanmälan</t>
        </is>
      </c>
      <c r="C255" t="inlineStr">
        <is>
          <t>Föryngringsavverkning</t>
        </is>
      </c>
      <c r="D255" s="1" t="n">
        <v>46206</v>
      </c>
      <c r="E255" s="1" t="n">
        <v>46269</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62247-2022</t>
        </is>
      </c>
      <c r="B256" t="inlineStr">
        <is>
          <t>avverkningsanmälan</t>
        </is>
      </c>
      <c r="C256" t="inlineStr">
        <is>
          <t>Föryngringsavverkning</t>
        </is>
      </c>
      <c r="D256" s="1" t="n">
        <v>44922</v>
      </c>
      <c r="E256" s="1" t="n">
        <v>46269</v>
      </c>
      <c r="F256" t="inlineStr">
        <is>
          <t>SÖDERMANLANDS LÄN</t>
        </is>
      </c>
      <c r="G256" t="inlineStr">
        <is>
          <t>GNESTA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10011-2026</t>
        </is>
      </c>
      <c r="B257" t="inlineStr">
        <is>
          <t>avverkningsanmälan</t>
        </is>
      </c>
      <c r="C257" t="inlineStr">
        <is>
          <t>Föryngringsavverkning</t>
        </is>
      </c>
      <c r="D257" s="1" t="n">
        <v>46073</v>
      </c>
      <c r="E257" s="1" t="n">
        <v>46269</v>
      </c>
      <c r="F257" t="inlineStr">
        <is>
          <t>SÖDERMANLANDS LÄN</t>
        </is>
      </c>
      <c r="G257" t="inlineStr">
        <is>
          <t>GNESTA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10017-2026</t>
        </is>
      </c>
      <c r="B258" t="inlineStr">
        <is>
          <t>avverkningsanmälan</t>
        </is>
      </c>
      <c r="C258" t="inlineStr">
        <is>
          <t>Föryngringsavverkning</t>
        </is>
      </c>
      <c r="D258" s="1" t="n">
        <v>46073</v>
      </c>
      <c r="E258" s="1" t="n">
        <v>46269</v>
      </c>
      <c r="F258" t="inlineStr">
        <is>
          <t>SÖDERMANLANDS LÄN</t>
        </is>
      </c>
      <c r="G258" t="inlineStr">
        <is>
          <t>GNESTA</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10029-2026</t>
        </is>
      </c>
      <c r="B259" t="inlineStr">
        <is>
          <t>avverkningsanmälan</t>
        </is>
      </c>
      <c r="C259" t="inlineStr">
        <is>
          <t>Föryngringsavverkning</t>
        </is>
      </c>
      <c r="D259" s="1" t="n">
        <v>46073</v>
      </c>
      <c r="E259" s="1" t="n">
        <v>46269</v>
      </c>
      <c r="F259" t="inlineStr">
        <is>
          <t>SÖDERMANLANDS LÄN</t>
        </is>
      </c>
      <c r="G259" t="inlineStr">
        <is>
          <t>GNESTA</t>
        </is>
      </c>
      <c r="I259" t="n">
        <v>17.1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10015-2026</t>
        </is>
      </c>
      <c r="B260" t="inlineStr">
        <is>
          <t>avverkningsanmälan</t>
        </is>
      </c>
      <c r="C260" t="inlineStr">
        <is>
          <t>Föryngringsavverkning</t>
        </is>
      </c>
      <c r="D260" s="1" t="n">
        <v>46073</v>
      </c>
      <c r="E260" s="1" t="n">
        <v>46269</v>
      </c>
      <c r="F260" t="inlineStr">
        <is>
          <t>SÖDERMANLANDS LÄN</t>
        </is>
      </c>
      <c r="G260" t="inlineStr">
        <is>
          <t>GNESTA</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30754-2026</t>
        </is>
      </c>
      <c r="B261" t="inlineStr">
        <is>
          <t>avverkningsanmälan</t>
        </is>
      </c>
      <c r="C261" t="inlineStr">
        <is>
          <t>Avverkning för annat ändamål</t>
        </is>
      </c>
      <c r="D261" s="1" t="n">
        <v>46212</v>
      </c>
      <c r="E261" s="1" t="n">
        <v>46269</v>
      </c>
      <c r="F261" t="inlineStr">
        <is>
          <t>SÖDERMANLANDS LÄN</t>
        </is>
      </c>
      <c r="G261" t="inlineStr">
        <is>
          <t>GNESTA</t>
        </is>
      </c>
      <c r="H261" t="inlineStr">
        <is>
          <t>Övriga Aktiebolag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42973-2025</t>
        </is>
      </c>
      <c r="B262" t="inlineStr">
        <is>
          <t>avverkningsanmälan</t>
        </is>
      </c>
      <c r="C262" t="inlineStr">
        <is>
          <t>Föryngringsavverkning</t>
        </is>
      </c>
      <c r="D262" s="1" t="n">
        <v>45909</v>
      </c>
      <c r="E262" s="1" t="n">
        <v>46269</v>
      </c>
      <c r="F262" t="inlineStr">
        <is>
          <t>SÖDERMANLANDS LÄN</t>
        </is>
      </c>
      <c r="G262" t="inlineStr">
        <is>
          <t>GNESTA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22228-2024</t>
        </is>
      </c>
      <c r="B263" t="inlineStr">
        <is>
          <t>avverkningsanmälan</t>
        </is>
      </c>
      <c r="C263" t="inlineStr">
        <is>
          <t>Föryngringsavverkning</t>
        </is>
      </c>
      <c r="D263" s="1" t="n">
        <v>45446</v>
      </c>
      <c r="E263" s="1" t="n">
        <v>46269</v>
      </c>
      <c r="F263" t="inlineStr">
        <is>
          <t>SÖDERMANLANDS LÄN</t>
        </is>
      </c>
      <c r="G263" t="inlineStr">
        <is>
          <t>GNESTA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34696-2022</t>
        </is>
      </c>
      <c r="B264" t="inlineStr">
        <is>
          <t>avverkningsanmälan</t>
        </is>
      </c>
      <c r="C264" t="inlineStr">
        <is>
          <t>Föryngringsavverkning</t>
        </is>
      </c>
      <c r="D264" s="1" t="n">
        <v>44795</v>
      </c>
      <c r="E264" s="1" t="n">
        <v>46269</v>
      </c>
      <c r="F264" t="inlineStr">
        <is>
          <t>SÖDERMANLANDS LÄN</t>
        </is>
      </c>
      <c r="G264" t="inlineStr">
        <is>
          <t>GNESTA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7214-2023</t>
        </is>
      </c>
      <c r="B265" t="inlineStr">
        <is>
          <t>avverkningsanmälan</t>
        </is>
      </c>
      <c r="C265" t="inlineStr">
        <is>
          <t>Föryngringsavverkning</t>
        </is>
      </c>
      <c r="D265" s="1" t="n">
        <v>44970</v>
      </c>
      <c r="E265" s="1" t="n">
        <v>46269</v>
      </c>
      <c r="F265" t="inlineStr">
        <is>
          <t>SÖDERMANLANDS LÄN</t>
        </is>
      </c>
      <c r="G265" t="inlineStr">
        <is>
          <t>GNESTA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36333-2023</t>
        </is>
      </c>
      <c r="B266" t="inlineStr">
        <is>
          <t>avverkningsanmälan</t>
        </is>
      </c>
      <c r="C266" t="inlineStr">
        <is>
          <t>Föryngringsavverkning</t>
        </is>
      </c>
      <c r="D266" s="1" t="n">
        <v>45152</v>
      </c>
      <c r="E266" s="1" t="n">
        <v>46269</v>
      </c>
      <c r="F266" t="inlineStr">
        <is>
          <t>SÖDERMANLANDS LÄN</t>
        </is>
      </c>
      <c r="G266" t="inlineStr">
        <is>
          <t>GNESTA</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35444-2026</t>
        </is>
      </c>
      <c r="B267" t="inlineStr">
        <is>
          <t>avverkningsanmälan</t>
        </is>
      </c>
      <c r="C267" t="inlineStr">
        <is>
          <t>Föryngringsavverkning</t>
        </is>
      </c>
      <c r="D267" s="1" t="n">
        <v>46261</v>
      </c>
      <c r="E267" s="1" t="n">
        <v>46269</v>
      </c>
      <c r="F267" t="inlineStr">
        <is>
          <t>SÖDERMANLANDS LÄN</t>
        </is>
      </c>
      <c r="G267" t="inlineStr">
        <is>
          <t>GNESTA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57930-2023</t>
        </is>
      </c>
      <c r="B268" t="inlineStr">
        <is>
          <t>avverkningsanmälan</t>
        </is>
      </c>
      <c r="C268" t="inlineStr">
        <is>
          <t>Föryngringsavverkning</t>
        </is>
      </c>
      <c r="D268" s="1" t="n">
        <v>45247</v>
      </c>
      <c r="E268" s="1" t="n">
        <v>46269</v>
      </c>
      <c r="F268" t="inlineStr">
        <is>
          <t>SÖDERMANLANDS LÄN</t>
        </is>
      </c>
      <c r="G268" t="inlineStr">
        <is>
          <t>GNESTA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18406-2023</t>
        </is>
      </c>
      <c r="B269" t="inlineStr">
        <is>
          <t>avverkningsanmälan</t>
        </is>
      </c>
      <c r="C269" t="inlineStr">
        <is>
          <t>Avverkning för att bevara och utveckla /försöksver</t>
        </is>
      </c>
      <c r="D269" s="1" t="n">
        <v>45042</v>
      </c>
      <c r="E269" s="1" t="n">
        <v>46269</v>
      </c>
      <c r="F269" t="inlineStr">
        <is>
          <t>SÖDERMANLANDS LÄN</t>
        </is>
      </c>
      <c r="G269" t="inlineStr">
        <is>
          <t>GNESTA</t>
        </is>
      </c>
      <c r="H269" t="inlineStr">
        <is>
          <t>Holmen skog AB</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16689-2026</t>
        </is>
      </c>
      <c r="B270" t="inlineStr">
        <is>
          <t>avverkningsanmälan</t>
        </is>
      </c>
      <c r="C270" t="inlineStr">
        <is>
          <t>Föryngringsavverkning</t>
        </is>
      </c>
      <c r="D270" s="1" t="n">
        <v>46112</v>
      </c>
      <c r="E270" s="1" t="n">
        <v>46269</v>
      </c>
      <c r="F270" t="inlineStr">
        <is>
          <t>SÖDERMANLANDS LÄN</t>
        </is>
      </c>
      <c r="G270" t="inlineStr">
        <is>
          <t>GNESTA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16688-2026</t>
        </is>
      </c>
      <c r="B271" t="inlineStr">
        <is>
          <t>avverkningsanmälan</t>
        </is>
      </c>
      <c r="C271" t="inlineStr">
        <is>
          <t>Föryngringsavverkning</t>
        </is>
      </c>
      <c r="D271" s="1" t="n">
        <v>46112</v>
      </c>
      <c r="E271" s="1" t="n">
        <v>46269</v>
      </c>
      <c r="F271" t="inlineStr">
        <is>
          <t>SÖDERMANLANDS LÄN</t>
        </is>
      </c>
      <c r="G271" t="inlineStr">
        <is>
          <t>GNESTA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16690-2026</t>
        </is>
      </c>
      <c r="B272" t="inlineStr">
        <is>
          <t>avverkningsanmälan</t>
        </is>
      </c>
      <c r="C272" t="inlineStr">
        <is>
          <t>Föryngringsavverkning</t>
        </is>
      </c>
      <c r="D272" s="1" t="n">
        <v>46112</v>
      </c>
      <c r="E272" s="1" t="n">
        <v>46269</v>
      </c>
      <c r="F272" t="inlineStr">
        <is>
          <t>SÖDERMANLANDS LÄN</t>
        </is>
      </c>
      <c r="G272" t="inlineStr">
        <is>
          <t>GNESTA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59471-2022</t>
        </is>
      </c>
      <c r="B273" t="inlineStr">
        <is>
          <t>avverkningsanmälan</t>
        </is>
      </c>
      <c r="C273" t="inlineStr">
        <is>
          <t>Föryngringsavverkning</t>
        </is>
      </c>
      <c r="D273" s="1" t="n">
        <v>44907</v>
      </c>
      <c r="E273" s="1" t="n">
        <v>46269</v>
      </c>
      <c r="F273" t="inlineStr">
        <is>
          <t>SÖDERMANLANDS LÄN</t>
        </is>
      </c>
      <c r="G273" t="inlineStr">
        <is>
          <t>GNESTA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34596-2023</t>
        </is>
      </c>
      <c r="B274" t="inlineStr">
        <is>
          <t>avverkningsanmälan</t>
        </is>
      </c>
      <c r="C274" t="inlineStr">
        <is>
          <t>Föryngringsavverkning</t>
        </is>
      </c>
      <c r="D274" s="1" t="n">
        <v>45140</v>
      </c>
      <c r="E274" s="1" t="n">
        <v>46269</v>
      </c>
      <c r="F274" t="inlineStr">
        <is>
          <t>SÖDERMANLANDS LÄN</t>
        </is>
      </c>
      <c r="G274" t="inlineStr">
        <is>
          <t>GNESTA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34091-2024</t>
        </is>
      </c>
      <c r="B275" t="inlineStr">
        <is>
          <t>avverkningsanmälan</t>
        </is>
      </c>
      <c r="C275" t="inlineStr">
        <is>
          <t>Föryngringsavverkning</t>
        </is>
      </c>
      <c r="D275" s="1" t="n">
        <v>45523</v>
      </c>
      <c r="E275" s="1" t="n">
        <v>46269</v>
      </c>
      <c r="F275" t="inlineStr">
        <is>
          <t>SÖDERMANLANDS LÄN</t>
        </is>
      </c>
      <c r="G275" t="inlineStr">
        <is>
          <t>GNESTA</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7653-2023</t>
        </is>
      </c>
      <c r="B276" t="inlineStr">
        <is>
          <t>avverkningsanmälan</t>
        </is>
      </c>
      <c r="C276" t="inlineStr">
        <is>
          <t>Föryngringsavverkning</t>
        </is>
      </c>
      <c r="D276" s="1" t="n">
        <v>44972</v>
      </c>
      <c r="E276" s="1" t="n">
        <v>46269</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7735-2023</t>
        </is>
      </c>
      <c r="B277" t="inlineStr">
        <is>
          <t>avverkningsanmälan</t>
        </is>
      </c>
      <c r="C277" t="inlineStr">
        <is>
          <t>Föryngringsavverkning</t>
        </is>
      </c>
      <c r="D277" s="1" t="n">
        <v>44973</v>
      </c>
      <c r="E277" s="1" t="n">
        <v>46269</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62883-2023</t>
        </is>
      </c>
      <c r="B278" t="inlineStr">
        <is>
          <t>avverkningsanmälan</t>
        </is>
      </c>
      <c r="C278" t="inlineStr">
        <is>
          <t>Föryngringsavverkning</t>
        </is>
      </c>
      <c r="D278" s="1" t="n">
        <v>45272</v>
      </c>
      <c r="E278" s="1" t="n">
        <v>46269</v>
      </c>
      <c r="F278" t="inlineStr">
        <is>
          <t>SÖDERMANLANDS LÄN</t>
        </is>
      </c>
      <c r="G278" t="inlineStr">
        <is>
          <t>GNESTA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5233-2025</t>
        </is>
      </c>
      <c r="B279" t="inlineStr">
        <is>
          <t>avverkningsanmälan</t>
        </is>
      </c>
      <c r="C279" t="inlineStr">
        <is>
          <t>Föryngringsavverkning</t>
        </is>
      </c>
      <c r="D279" s="1" t="n">
        <v>45691</v>
      </c>
      <c r="E279" s="1" t="n">
        <v>46269</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59380-2023</t>
        </is>
      </c>
      <c r="B280" t="inlineStr">
        <is>
          <t>avverkningsanmälan</t>
        </is>
      </c>
      <c r="C280" t="inlineStr">
        <is>
          <t>Föryngringsavverkning</t>
        </is>
      </c>
      <c r="D280" s="1" t="n">
        <v>45253</v>
      </c>
      <c r="E280" s="1" t="n">
        <v>46269</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60948-2024</t>
        </is>
      </c>
      <c r="B281" t="inlineStr">
        <is>
          <t>avverkningsanmälan</t>
        </is>
      </c>
      <c r="C281" t="inlineStr">
        <is>
          <t>Föryngringsavverkning</t>
        </is>
      </c>
      <c r="D281" s="1" t="n">
        <v>45645</v>
      </c>
      <c r="E281" s="1" t="n">
        <v>46269</v>
      </c>
      <c r="F281" t="inlineStr">
        <is>
          <t>SÖDERMANLANDS LÄN</t>
        </is>
      </c>
      <c r="G281" t="inlineStr">
        <is>
          <t>GNESTA</t>
        </is>
      </c>
      <c r="H281" t="inlineStr">
        <is>
          <t>Holmen skog AB</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25915-2024</t>
        </is>
      </c>
      <c r="B282" t="inlineStr">
        <is>
          <t>avverkningsanmälan</t>
        </is>
      </c>
      <c r="C282" t="inlineStr">
        <is>
          <t>Föryngringsavverkning</t>
        </is>
      </c>
      <c r="D282" s="1" t="n">
        <v>45467</v>
      </c>
      <c r="E282" s="1" t="n">
        <v>46269</v>
      </c>
      <c r="F282" t="inlineStr">
        <is>
          <t>SÖDERMANLANDS LÄN</t>
        </is>
      </c>
      <c r="G282" t="inlineStr">
        <is>
          <t>GNESTA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55864-2023</t>
        </is>
      </c>
      <c r="B283" t="inlineStr">
        <is>
          <t>avverkningsanmälan</t>
        </is>
      </c>
      <c r="C283" t="inlineStr">
        <is>
          <t>Föryngringsavverkning</t>
        </is>
      </c>
      <c r="D283" s="1" t="n">
        <v>45239</v>
      </c>
      <c r="E283" s="1" t="n">
        <v>46269</v>
      </c>
      <c r="F283" t="inlineStr">
        <is>
          <t>SÖDERMANLANDS LÄN</t>
        </is>
      </c>
      <c r="G283" t="inlineStr">
        <is>
          <t>GNESTA</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879-2021</t>
        </is>
      </c>
      <c r="B284" t="inlineStr">
        <is>
          <t>samrådsanmälan</t>
        </is>
      </c>
      <c r="C284" t="inlineStr">
        <is>
          <t>Åtgärd i nyckelbiotop</t>
        </is>
      </c>
      <c r="D284" s="1" t="n">
        <v>44312</v>
      </c>
      <c r="E284" s="1" t="n">
        <v>46269</v>
      </c>
      <c r="F284" t="inlineStr">
        <is>
          <t>SÖDERMANLANDS LÄN</t>
        </is>
      </c>
      <c r="G284" t="inlineStr">
        <is>
          <t>GNESTA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1590-2022</t>
        </is>
      </c>
      <c r="B285" t="inlineStr">
        <is>
          <t>samrådsanmälan</t>
        </is>
      </c>
      <c r="C285" t="inlineStr">
        <is>
          <t>Annan skogsbruksåtgärd</t>
        </is>
      </c>
      <c r="D285" s="1" t="n">
        <v>44644</v>
      </c>
      <c r="E285" s="1" t="n">
        <v>46269</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6917-2021</t>
        </is>
      </c>
      <c r="B286" t="inlineStr">
        <is>
          <t>samrådsanmälan</t>
        </is>
      </c>
      <c r="C286" t="inlineStr">
        <is>
          <t>Annan skogsbruksåtgärd</t>
        </is>
      </c>
      <c r="D286" s="1" t="n">
        <v>44462</v>
      </c>
      <c r="E286" s="1" t="n">
        <v>46269</v>
      </c>
      <c r="F286" t="inlineStr">
        <is>
          <t>SÖDERMANLANDS LÄN</t>
        </is>
      </c>
      <c r="G286" t="inlineStr">
        <is>
          <t>GNESTA</t>
        </is>
      </c>
      <c r="I286" t="n">
        <v>1.4</v>
      </c>
      <c r="J286" t="n">
        <v>0</v>
      </c>
      <c r="K286" t="n">
        <v>0</v>
      </c>
      <c r="L286" t="n">
        <v>0</v>
      </c>
      <c r="M286" t="n">
        <v>0</v>
      </c>
      <c r="N286" t="n">
        <v>0</v>
      </c>
      <c r="O286" t="n">
        <v>0</v>
      </c>
      <c r="P286" t="n">
        <v>0</v>
      </c>
      <c r="Q286" t="n">
        <v>0</v>
      </c>
      <c r="R286" t="n">
        <v>0</v>
      </c>
      <c r="S286" t="n">
        <v>0</v>
      </c>
      <c r="T286" t="n">
        <v>0</v>
      </c>
      <c r="U286" t="n">
        <v>0</v>
      </c>
      <c r="V286" s="2" t="inlineStr"/>
    </row>
    <row r="287">
      <c r="A287" t="inlineStr">
        <is>
          <t>S 3685-2024</t>
        </is>
      </c>
      <c r="B287" t="inlineStr">
        <is>
          <t>samrådsanmälan</t>
        </is>
      </c>
      <c r="C287" t="inlineStr">
        <is>
          <t>Annan skogsbruksåtgärd</t>
        </is>
      </c>
      <c r="D287" s="1" t="n">
        <v>45552</v>
      </c>
      <c r="E287" s="1" t="n">
        <v>46269</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2026-09-04T02:06:51Z</dcterms:created>
  <dcterms:modified xmlns:dcterms="http://purl.org/dc/terms/" xmlns:xsi="http://www.w3.org/2001/XMLSchema-instance" xsi:type="dcterms:W3CDTF">2026-09-04T02:06:51Z</dcterms:modified>
</cp:coreProperties>
</file>