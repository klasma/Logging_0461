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45347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45347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52854-2021</t>
        </is>
      </c>
      <c r="B4" s="1" t="n">
        <v>44467</v>
      </c>
      <c r="C4" s="1" t="n">
        <v>45347</v>
      </c>
      <c r="D4" t="inlineStr">
        <is>
          <t>SÖDERMANLANDS LÄN</t>
        </is>
      </c>
      <c r="E4" t="inlineStr">
        <is>
          <t>GNESTA</t>
        </is>
      </c>
      <c r="G4" t="n">
        <v>2.1</v>
      </c>
      <c r="H4" t="n">
        <v>0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7</v>
      </c>
      <c r="R4" s="2" t="inlineStr">
        <is>
          <t>Koppartaggsvamp
Orange taggsvamp
Fjällig taggsvamp s.str.
Rökmusseron
Skarp dropptaggsvamp
Sotriska
Svavelriska</t>
        </is>
      </c>
      <c r="S4">
        <f>HYPERLINK("https://klasma.github.io/Logging_0461/artfynd/A 52854-2021 artfynd.xlsx", "A 52854-2021")</f>
        <v/>
      </c>
      <c r="T4">
        <f>HYPERLINK("https://klasma.github.io/Logging_0461/kartor/A 52854-2021 karta.png", "A 52854-2021")</f>
        <v/>
      </c>
      <c r="V4">
        <f>HYPERLINK("https://klasma.github.io/Logging_0461/klagomål/A 52854-2021 FSC-klagomål.docx", "A 52854-2021")</f>
        <v/>
      </c>
      <c r="W4">
        <f>HYPERLINK("https://klasma.github.io/Logging_0461/klagomålsmail/A 52854-2021 FSC-klagomål mail.docx", "A 52854-2021")</f>
        <v/>
      </c>
      <c r="X4">
        <f>HYPERLINK("https://klasma.github.io/Logging_0461/tillsyn/A 52854-2021 tillsynsbegäran.docx", "A 52854-2021")</f>
        <v/>
      </c>
      <c r="Y4">
        <f>HYPERLINK("https://klasma.github.io/Logging_0461/tillsynsmail/A 52854-2021 tillsynsbegäran mail.docx", "A 52854-2021")</f>
        <v/>
      </c>
    </row>
    <row r="5" ht="15" customHeight="1">
      <c r="A5" t="inlineStr">
        <is>
          <t>A 68341-2021</t>
        </is>
      </c>
      <c r="B5" s="1" t="n">
        <v>44528</v>
      </c>
      <c r="C5" s="1" t="n">
        <v>45347</v>
      </c>
      <c r="D5" t="inlineStr">
        <is>
          <t>SÖDERMANLANDS LÄN</t>
        </is>
      </c>
      <c r="E5" t="inlineStr">
        <is>
          <t>GNESTA</t>
        </is>
      </c>
      <c r="G5" t="n">
        <v>1.1</v>
      </c>
      <c r="H5" t="n">
        <v>0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Koppartaggsvamp
Persiljespindling
Puderspindling
Diskvaxskivling
Fjällig taggsvamp s.str.
Skogshakmossa
Toppvaxskivling</t>
        </is>
      </c>
      <c r="S5">
        <f>HYPERLINK("https://klasma.github.io/Logging_0461/artfynd/A 68341-2021 artfynd.xlsx", "A 68341-2021")</f>
        <v/>
      </c>
      <c r="T5">
        <f>HYPERLINK("https://klasma.github.io/Logging_0461/kartor/A 68341-2021 karta.png", "A 68341-2021")</f>
        <v/>
      </c>
      <c r="V5">
        <f>HYPERLINK("https://klasma.github.io/Logging_0461/klagomål/A 68341-2021 FSC-klagomål.docx", "A 68341-2021")</f>
        <v/>
      </c>
      <c r="W5">
        <f>HYPERLINK("https://klasma.github.io/Logging_0461/klagomålsmail/A 68341-2021 FSC-klagomål mail.docx", "A 68341-2021")</f>
        <v/>
      </c>
      <c r="X5">
        <f>HYPERLINK("https://klasma.github.io/Logging_0461/tillsyn/A 68341-2021 tillsynsbegäran.docx", "A 68341-2021")</f>
        <v/>
      </c>
      <c r="Y5">
        <f>HYPERLINK("https://klasma.github.io/Logging_0461/tillsynsmail/A 68341-2021 tillsynsbegäran mail.docx", "A 68341-2021")</f>
        <v/>
      </c>
    </row>
    <row r="6" ht="15" customHeight="1">
      <c r="A6" t="inlineStr">
        <is>
          <t>A 17148-2019</t>
        </is>
      </c>
      <c r="B6" s="1" t="n">
        <v>43551</v>
      </c>
      <c r="C6" s="1" t="n">
        <v>45347</v>
      </c>
      <c r="D6" t="inlineStr">
        <is>
          <t>SÖDERMANLANDS LÄN</t>
        </is>
      </c>
      <c r="E6" t="inlineStr">
        <is>
          <t>GNESTA</t>
        </is>
      </c>
      <c r="G6" t="n">
        <v>15.5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Tallticka
Vedtrappmossa
Blomkålssvamp
Brandticka
Vågbandad barkbock</t>
        </is>
      </c>
      <c r="S6">
        <f>HYPERLINK("https://klasma.github.io/Logging_0461/artfynd/A 17148-2019 artfynd.xlsx", "A 17148-2019")</f>
        <v/>
      </c>
      <c r="T6">
        <f>HYPERLINK("https://klasma.github.io/Logging_0461/kartor/A 17148-2019 karta.png", "A 17148-2019")</f>
        <v/>
      </c>
      <c r="U6">
        <f>HYPERLINK("https://klasma.github.io/Logging_0461/knärot/A 17148-2019 karta knärot.png", "A 17148-2019")</f>
        <v/>
      </c>
      <c r="V6">
        <f>HYPERLINK("https://klasma.github.io/Logging_0461/klagomål/A 17148-2019 FSC-klagomål.docx", "A 17148-2019")</f>
        <v/>
      </c>
      <c r="W6">
        <f>HYPERLINK("https://klasma.github.io/Logging_0461/klagomålsmail/A 17148-2019 FSC-klagomål mail.docx", "A 17148-2019")</f>
        <v/>
      </c>
      <c r="X6">
        <f>HYPERLINK("https://klasma.github.io/Logging_0461/tillsyn/A 17148-2019 tillsynsbegäran.docx", "A 17148-2019")</f>
        <v/>
      </c>
      <c r="Y6">
        <f>HYPERLINK("https://klasma.github.io/Logging_0461/tillsynsmail/A 17148-2019 tillsynsbegäran mail.docx", "A 17148-2019")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45347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45347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56342-2018</t>
        </is>
      </c>
      <c r="B9" s="1" t="n">
        <v>43399</v>
      </c>
      <c r="C9" s="1" t="n">
        <v>45347</v>
      </c>
      <c r="D9" t="inlineStr">
        <is>
          <t>SÖDERMANLANDS LÄN</t>
        </is>
      </c>
      <c r="E9" t="inlineStr">
        <is>
          <t>GNESTA</t>
        </is>
      </c>
      <c r="G9" t="n">
        <v>1.6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Gullklöver
Svinrot
Ängsskära
Svart trolldruva</t>
        </is>
      </c>
      <c r="S9">
        <f>HYPERLINK("https://klasma.github.io/Logging_0461/artfynd/A 56342-2018 artfynd.xlsx", "A 56342-2018")</f>
        <v/>
      </c>
      <c r="T9">
        <f>HYPERLINK("https://klasma.github.io/Logging_0461/kartor/A 56342-2018 karta.png", "A 56342-2018")</f>
        <v/>
      </c>
      <c r="V9">
        <f>HYPERLINK("https://klasma.github.io/Logging_0461/klagomål/A 56342-2018 FSC-klagomål.docx", "A 56342-2018")</f>
        <v/>
      </c>
      <c r="W9">
        <f>HYPERLINK("https://klasma.github.io/Logging_0461/klagomålsmail/A 56342-2018 FSC-klagomål mail.docx", "A 56342-2018")</f>
        <v/>
      </c>
      <c r="X9">
        <f>HYPERLINK("https://klasma.github.io/Logging_0461/tillsyn/A 56342-2018 tillsynsbegäran.docx", "A 56342-2018")</f>
        <v/>
      </c>
      <c r="Y9">
        <f>HYPERLINK("https://klasma.github.io/Logging_0461/tillsynsmail/A 56342-2018 tillsynsbegäran mail.docx", "A 56342-2018")</f>
        <v/>
      </c>
    </row>
    <row r="10" ht="15" customHeight="1">
      <c r="A10" t="inlineStr">
        <is>
          <t>A 69355-2020</t>
        </is>
      </c>
      <c r="B10" s="1" t="n">
        <v>44193</v>
      </c>
      <c r="C10" s="1" t="n">
        <v>45347</v>
      </c>
      <c r="D10" t="inlineStr">
        <is>
          <t>SÖDERMANLANDS LÄN</t>
        </is>
      </c>
      <c r="E10" t="inlineStr">
        <is>
          <t>GNESTA</t>
        </is>
      </c>
      <c r="G10" t="n">
        <v>7.9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Fjällvråk
Hornuggla
Spillkråka
Myskbock</t>
        </is>
      </c>
      <c r="S10">
        <f>HYPERLINK("https://klasma.github.io/Logging_0461/artfynd/A 69355-2020 artfynd.xlsx", "A 69355-2020")</f>
        <v/>
      </c>
      <c r="T10">
        <f>HYPERLINK("https://klasma.github.io/Logging_0461/kartor/A 69355-2020 karta.png", "A 69355-2020")</f>
        <v/>
      </c>
      <c r="V10">
        <f>HYPERLINK("https://klasma.github.io/Logging_0461/klagomål/A 69355-2020 FSC-klagomål.docx", "A 69355-2020")</f>
        <v/>
      </c>
      <c r="W10">
        <f>HYPERLINK("https://klasma.github.io/Logging_0461/klagomålsmail/A 69355-2020 FSC-klagomål mail.docx", "A 69355-2020")</f>
        <v/>
      </c>
      <c r="X10">
        <f>HYPERLINK("https://klasma.github.io/Logging_0461/tillsyn/A 69355-2020 tillsynsbegäran.docx", "A 69355-2020")</f>
        <v/>
      </c>
      <c r="Y10">
        <f>HYPERLINK("https://klasma.github.io/Logging_0461/tillsynsmail/A 69355-2020 tillsynsbegäran mail.docx", "A 69355-2020")</f>
        <v/>
      </c>
      <c r="Z10">
        <f>HYPERLINK("https://klasma.github.io/Logging_0461/fåglar/A 69355-2020 prioriterade fågelarter.docx", "A 69355-2020")</f>
        <v/>
      </c>
    </row>
    <row r="11" ht="15" customHeight="1">
      <c r="A11" t="inlineStr">
        <is>
          <t>A 20402-2020</t>
        </is>
      </c>
      <c r="B11" s="1" t="n">
        <v>43945</v>
      </c>
      <c r="C11" s="1" t="n">
        <v>45347</v>
      </c>
      <c r="D11" t="inlineStr">
        <is>
          <t>SÖDERMANLANDS LÄN</t>
        </is>
      </c>
      <c r="E11" t="inlineStr">
        <is>
          <t>GNESTA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Strutbräken
Sårläka</t>
        </is>
      </c>
      <c r="S11">
        <f>HYPERLINK("https://klasma.github.io/Logging_0461/artfynd/A 20402-2020 artfynd.xlsx", "A 20402-2020")</f>
        <v/>
      </c>
      <c r="T11">
        <f>HYPERLINK("https://klasma.github.io/Logging_0461/kartor/A 20402-2020 karta.png", "A 20402-2020")</f>
        <v/>
      </c>
      <c r="V11">
        <f>HYPERLINK("https://klasma.github.io/Logging_0461/klagomål/A 20402-2020 FSC-klagomål.docx", "A 20402-2020")</f>
        <v/>
      </c>
      <c r="W11">
        <f>HYPERLINK("https://klasma.github.io/Logging_0461/klagomålsmail/A 20402-2020 FSC-klagomål mail.docx", "A 20402-2020")</f>
        <v/>
      </c>
      <c r="X11">
        <f>HYPERLINK("https://klasma.github.io/Logging_0461/tillsyn/A 20402-2020 tillsynsbegäran.docx", "A 20402-2020")</f>
        <v/>
      </c>
      <c r="Y11">
        <f>HYPERLINK("https://klasma.github.io/Logging_0461/tillsynsmail/A 20402-2020 tillsynsbegäran mail.docx", "A 20402-2020")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45347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37714-2019</t>
        </is>
      </c>
      <c r="B13" s="1" t="n">
        <v>43682</v>
      </c>
      <c r="C13" s="1" t="n">
        <v>45347</v>
      </c>
      <c r="D13" t="inlineStr">
        <is>
          <t>SÖDERMANLANDS LÄN</t>
        </is>
      </c>
      <c r="E13" t="inlineStr">
        <is>
          <t>GNESTA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HYPERLINK("https://klasma.github.io/Logging_0461/artfynd/A 37714-2019 artfynd.xlsx", "A 37714-2019")</f>
        <v/>
      </c>
      <c r="T13">
        <f>HYPERLINK("https://klasma.github.io/Logging_0461/kartor/A 37714-2019 karta.png", "A 37714-2019")</f>
        <v/>
      </c>
      <c r="V13">
        <f>HYPERLINK("https://klasma.github.io/Logging_0461/klagomål/A 37714-2019 FSC-klagomål.docx", "A 37714-2019")</f>
        <v/>
      </c>
      <c r="W13">
        <f>HYPERLINK("https://klasma.github.io/Logging_0461/klagomålsmail/A 37714-2019 FSC-klagomål mail.docx", "A 37714-2019")</f>
        <v/>
      </c>
      <c r="X13">
        <f>HYPERLINK("https://klasma.github.io/Logging_0461/tillsyn/A 37714-2019 tillsynsbegäran.docx", "A 37714-2019")</f>
        <v/>
      </c>
      <c r="Y13">
        <f>HYPERLINK("https://klasma.github.io/Logging_0461/tillsynsmail/A 37714-2019 tillsynsbegäran mail.docx", "A 37714-2019")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45347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45347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36567-2018</t>
        </is>
      </c>
      <c r="B16" s="1" t="n">
        <v>43329</v>
      </c>
      <c r="C16" s="1" t="n">
        <v>45347</v>
      </c>
      <c r="D16" t="inlineStr">
        <is>
          <t>SÖDERMANLANDS LÄN</t>
        </is>
      </c>
      <c r="E16" t="inlineStr">
        <is>
          <t>GNESTA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HYPERLINK("https://klasma.github.io/Logging_0461/artfynd/A 36567-2018 artfynd.xlsx", "A 36567-2018")</f>
        <v/>
      </c>
      <c r="T16">
        <f>HYPERLINK("https://klasma.github.io/Logging_0461/kartor/A 36567-2018 karta.png", "A 36567-2018")</f>
        <v/>
      </c>
      <c r="V16">
        <f>HYPERLINK("https://klasma.github.io/Logging_0461/klagomål/A 36567-2018 FSC-klagomål.docx", "A 36567-2018")</f>
        <v/>
      </c>
      <c r="W16">
        <f>HYPERLINK("https://klasma.github.io/Logging_0461/klagomålsmail/A 36567-2018 FSC-klagomål mail.docx", "A 36567-2018")</f>
        <v/>
      </c>
      <c r="X16">
        <f>HYPERLINK("https://klasma.github.io/Logging_0461/tillsyn/A 36567-2018 tillsynsbegäran.docx", "A 36567-2018")</f>
        <v/>
      </c>
      <c r="Y16">
        <f>HYPERLINK("https://klasma.github.io/Logging_0461/tillsynsmail/A 36567-2018 tillsynsbegäran mail.docx", "A 36567-2018")</f>
        <v/>
      </c>
    </row>
    <row r="17" ht="15" customHeight="1">
      <c r="A17" t="inlineStr">
        <is>
          <t>A 45577-2019</t>
        </is>
      </c>
      <c r="B17" s="1" t="n">
        <v>43716</v>
      </c>
      <c r="C17" s="1" t="n">
        <v>45347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HYPERLINK("https://klasma.github.io/Logging_0461/artfynd/A 45577-2019 artfynd.xlsx", "A 45577-2019")</f>
        <v/>
      </c>
      <c r="T17">
        <f>HYPERLINK("https://klasma.github.io/Logging_0461/kartor/A 45577-2019 karta.png", "A 45577-2019")</f>
        <v/>
      </c>
      <c r="V17">
        <f>HYPERLINK("https://klasma.github.io/Logging_0461/klagomål/A 45577-2019 FSC-klagomål.docx", "A 45577-2019")</f>
        <v/>
      </c>
      <c r="W17">
        <f>HYPERLINK("https://klasma.github.io/Logging_0461/klagomålsmail/A 45577-2019 FSC-klagomål mail.docx", "A 45577-2019")</f>
        <v/>
      </c>
      <c r="X17">
        <f>HYPERLINK("https://klasma.github.io/Logging_0461/tillsyn/A 45577-2019 tillsynsbegäran.docx", "A 45577-2019")</f>
        <v/>
      </c>
      <c r="Y17">
        <f>HYPERLINK("https://klasma.github.io/Logging_0461/tillsynsmail/A 45577-2019 tillsynsbegäran mail.docx", "A 45577-2019")</f>
        <v/>
      </c>
    </row>
    <row r="18" ht="15" customHeight="1">
      <c r="A18" t="inlineStr">
        <is>
          <t>A 51437-2019</t>
        </is>
      </c>
      <c r="B18" s="1" t="n">
        <v>43740</v>
      </c>
      <c r="C18" s="1" t="n">
        <v>45347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51437-2019 artfynd.xlsx", "A 51437-2019")</f>
        <v/>
      </c>
      <c r="T18">
        <f>HYPERLINK("https://klasma.github.io/Logging_0461/kartor/A 51437-2019 karta.png", "A 51437-2019")</f>
        <v/>
      </c>
      <c r="V18">
        <f>HYPERLINK("https://klasma.github.io/Logging_0461/klagomål/A 51437-2019 FSC-klagomål.docx", "A 51437-2019")</f>
        <v/>
      </c>
      <c r="W18">
        <f>HYPERLINK("https://klasma.github.io/Logging_0461/klagomålsmail/A 51437-2019 FSC-klagomål mail.docx", "A 51437-2019")</f>
        <v/>
      </c>
      <c r="X18">
        <f>HYPERLINK("https://klasma.github.io/Logging_0461/tillsyn/A 51437-2019 tillsynsbegäran.docx", "A 51437-2019")</f>
        <v/>
      </c>
      <c r="Y18">
        <f>HYPERLINK("https://klasma.github.io/Logging_0461/tillsynsmail/A 51437-2019 tillsynsbegäran mail.docx", "A 51437-2019")</f>
        <v/>
      </c>
    </row>
    <row r="19" ht="15" customHeight="1">
      <c r="A19" t="inlineStr">
        <is>
          <t>A 13747-2020</t>
        </is>
      </c>
      <c r="B19" s="1" t="n">
        <v>43896</v>
      </c>
      <c r="C19" s="1" t="n">
        <v>45347</v>
      </c>
      <c r="D19" t="inlineStr">
        <is>
          <t>SÖDERMANLANDS LÄN</t>
        </is>
      </c>
      <c r="E19" t="inlineStr">
        <is>
          <t>GNESTA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13747-2020 artfynd.xlsx", "A 13747-2020")</f>
        <v/>
      </c>
      <c r="T19">
        <f>HYPERLINK("https://klasma.github.io/Logging_0461/kartor/A 13747-2020 karta.png", "A 13747-2020")</f>
        <v/>
      </c>
      <c r="V19">
        <f>HYPERLINK("https://klasma.github.io/Logging_0461/klagomål/A 13747-2020 FSC-klagomål.docx", "A 13747-2020")</f>
        <v/>
      </c>
      <c r="W19">
        <f>HYPERLINK("https://klasma.github.io/Logging_0461/klagomålsmail/A 13747-2020 FSC-klagomål mail.docx", "A 13747-2020")</f>
        <v/>
      </c>
      <c r="X19">
        <f>HYPERLINK("https://klasma.github.io/Logging_0461/tillsyn/A 13747-2020 tillsynsbegäran.docx", "A 13747-2020")</f>
        <v/>
      </c>
      <c r="Y19">
        <f>HYPERLINK("https://klasma.github.io/Logging_0461/tillsynsmail/A 13747-2020 tillsynsbegäran mail.docx", "A 13747-2020")</f>
        <v/>
      </c>
    </row>
    <row r="20" ht="15" customHeight="1">
      <c r="A20" t="inlineStr">
        <is>
          <t>A 51080-2020</t>
        </is>
      </c>
      <c r="B20" s="1" t="n">
        <v>44112</v>
      </c>
      <c r="C20" s="1" t="n">
        <v>45347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51080-2020 artfynd.xlsx", "A 51080-2020")</f>
        <v/>
      </c>
      <c r="T20">
        <f>HYPERLINK("https://klasma.github.io/Logging_0461/kartor/A 51080-2020 karta.png", "A 51080-2020")</f>
        <v/>
      </c>
      <c r="V20">
        <f>HYPERLINK("https://klasma.github.io/Logging_0461/klagomål/A 51080-2020 FSC-klagomål.docx", "A 51080-2020")</f>
        <v/>
      </c>
      <c r="W20">
        <f>HYPERLINK("https://klasma.github.io/Logging_0461/klagomålsmail/A 51080-2020 FSC-klagomål mail.docx", "A 51080-2020")</f>
        <v/>
      </c>
      <c r="X20">
        <f>HYPERLINK("https://klasma.github.io/Logging_0461/tillsyn/A 51080-2020 tillsynsbegäran.docx", "A 51080-2020")</f>
        <v/>
      </c>
      <c r="Y20">
        <f>HYPERLINK("https://klasma.github.io/Logging_0461/tillsynsmail/A 51080-2020 tillsynsbegäran mail.docx", "A 51080-2020")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45347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45347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45347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45347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45347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45347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45347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45347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45347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45347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45347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45347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45347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45347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45347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45347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45347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45347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45347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45347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45347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45347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45347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45347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45347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45347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6539-2024</t>
        </is>
      </c>
      <c r="B47" s="1" t="n">
        <v>45341</v>
      </c>
      <c r="C47" s="1" t="n">
        <v>45347</v>
      </c>
      <c r="D47" t="inlineStr">
        <is>
          <t>SÖDERMANLANDS LÄN</t>
        </is>
      </c>
      <c r="E47" t="inlineStr">
        <is>
          <t>GNESTA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HYPERLINK("https://klasma.github.io/Logging_0461/artfynd/A 6539-2024 artfynd.xlsx", "A 6539-2024")</f>
        <v/>
      </c>
      <c r="T47">
        <f>HYPERLINK("https://klasma.github.io/Logging_0461/kartor/A 6539-2024 karta.png", "A 6539-2024")</f>
        <v/>
      </c>
      <c r="V47">
        <f>HYPERLINK("https://klasma.github.io/Logging_0461/klagomål/A 6539-2024 FSC-klagomål.docx", "A 6539-2024")</f>
        <v/>
      </c>
      <c r="W47">
        <f>HYPERLINK("https://klasma.github.io/Logging_0461/klagomålsmail/A 6539-2024 FSC-klagomål mail.docx", "A 6539-2024")</f>
        <v/>
      </c>
      <c r="X47">
        <f>HYPERLINK("https://klasma.github.io/Logging_0461/tillsyn/A 6539-2024 tillsynsbegäran.docx", "A 6539-2024")</f>
        <v/>
      </c>
      <c r="Y47">
        <f>HYPERLINK("https://klasma.github.io/Logging_0461/tillsynsmail/A 6539-2024 tillsynsbegäran mail.docx", "A 6539-2024")</f>
        <v/>
      </c>
    </row>
    <row r="48" ht="15" customHeight="1">
      <c r="A48" t="inlineStr">
        <is>
          <t>A 38068-2018</t>
        </is>
      </c>
      <c r="B48" s="1" t="n">
        <v>43336</v>
      </c>
      <c r="C48" s="1" t="n">
        <v>45347</v>
      </c>
      <c r="D48" t="inlineStr">
        <is>
          <t>SÖDERMANLANDS LÄN</t>
        </is>
      </c>
      <c r="E48" t="inlineStr">
        <is>
          <t>GNESTA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46046-2018</t>
        </is>
      </c>
      <c r="B49" s="1" t="n">
        <v>43365</v>
      </c>
      <c r="C49" s="1" t="n">
        <v>45347</v>
      </c>
      <c r="D49" t="inlineStr">
        <is>
          <t>SÖDERMANLANDS LÄN</t>
        </is>
      </c>
      <c r="E49" t="inlineStr">
        <is>
          <t>GNESTA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52082-2018</t>
        </is>
      </c>
      <c r="B50" s="1" t="n">
        <v>43385</v>
      </c>
      <c r="C50" s="1" t="n">
        <v>45347</v>
      </c>
      <c r="D50" t="inlineStr">
        <is>
          <t>SÖDERMANLANDS LÄN</t>
        </is>
      </c>
      <c r="E50" t="inlineStr">
        <is>
          <t>GNESTA</t>
        </is>
      </c>
      <c r="F50" t="inlineStr">
        <is>
          <t>Holmen skog AB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52098-2018</t>
        </is>
      </c>
      <c r="B51" s="1" t="n">
        <v>43385</v>
      </c>
      <c r="C51" s="1" t="n">
        <v>45347</v>
      </c>
      <c r="D51" t="inlineStr">
        <is>
          <t>SÖDERMANLANDS LÄN</t>
        </is>
      </c>
      <c r="E51" t="inlineStr">
        <is>
          <t>GNESTA</t>
        </is>
      </c>
      <c r="F51" t="inlineStr">
        <is>
          <t>Holmen skog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60402-2018</t>
        </is>
      </c>
      <c r="B52" s="1" t="n">
        <v>43405</v>
      </c>
      <c r="C52" s="1" t="n">
        <v>45347</v>
      </c>
      <c r="D52" t="inlineStr">
        <is>
          <t>SÖDERMANLANDS LÄN</t>
        </is>
      </c>
      <c r="E52" t="inlineStr">
        <is>
          <t>GNESTA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60312-2018</t>
        </is>
      </c>
      <c r="B53" s="1" t="n">
        <v>43406</v>
      </c>
      <c r="C53" s="1" t="n">
        <v>45347</v>
      </c>
      <c r="D53" t="inlineStr">
        <is>
          <t>SÖDERMANLANDS LÄN</t>
        </is>
      </c>
      <c r="E53" t="inlineStr">
        <is>
          <t>GNESTA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67055-2018</t>
        </is>
      </c>
      <c r="B54" s="1" t="n">
        <v>43438</v>
      </c>
      <c r="C54" s="1" t="n">
        <v>45347</v>
      </c>
      <c r="D54" t="inlineStr">
        <is>
          <t>SÖDERMANLANDS LÄN</t>
        </is>
      </c>
      <c r="E54" t="inlineStr">
        <is>
          <t>GNESTA</t>
        </is>
      </c>
      <c r="F54" t="inlineStr">
        <is>
          <t>Övriga Aktiebolag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67075-2018</t>
        </is>
      </c>
      <c r="B55" s="1" t="n">
        <v>43438</v>
      </c>
      <c r="C55" s="1" t="n">
        <v>45347</v>
      </c>
      <c r="D55" t="inlineStr">
        <is>
          <t>SÖDERMANLANDS LÄN</t>
        </is>
      </c>
      <c r="E55" t="inlineStr">
        <is>
          <t>GNESTA</t>
        </is>
      </c>
      <c r="F55" t="inlineStr">
        <is>
          <t>Övriga Aktiebolag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979-2019</t>
        </is>
      </c>
      <c r="B56" s="1" t="n">
        <v>43472</v>
      </c>
      <c r="C56" s="1" t="n">
        <v>45347</v>
      </c>
      <c r="D56" t="inlineStr">
        <is>
          <t>SÖDERMANLANDS LÄN</t>
        </is>
      </c>
      <c r="E56" t="inlineStr">
        <is>
          <t>GNESTA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1090-2019</t>
        </is>
      </c>
      <c r="B57" s="1" t="n">
        <v>43472</v>
      </c>
      <c r="C57" s="1" t="n">
        <v>45347</v>
      </c>
      <c r="D57" t="inlineStr">
        <is>
          <t>SÖDERMANLANDS LÄN</t>
        </is>
      </c>
      <c r="E57" t="inlineStr">
        <is>
          <t>GNESTA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6165-2019</t>
        </is>
      </c>
      <c r="B58" s="1" t="n">
        <v>43486</v>
      </c>
      <c r="C58" s="1" t="n">
        <v>45347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7620-2019</t>
        </is>
      </c>
      <c r="B59" s="1" t="n">
        <v>43493</v>
      </c>
      <c r="C59" s="1" t="n">
        <v>45347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11895-2019</t>
        </is>
      </c>
      <c r="B60" s="1" t="n">
        <v>43521</v>
      </c>
      <c r="C60" s="1" t="n">
        <v>45347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14862-2019</t>
        </is>
      </c>
      <c r="B61" s="1" t="n">
        <v>43539</v>
      </c>
      <c r="C61" s="1" t="n">
        <v>45347</v>
      </c>
      <c r="D61" t="inlineStr">
        <is>
          <t>SÖDERMANLANDS LÄN</t>
        </is>
      </c>
      <c r="E61" t="inlineStr">
        <is>
          <t>GNESTA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14948-2019</t>
        </is>
      </c>
      <c r="B62" s="1" t="n">
        <v>43539</v>
      </c>
      <c r="C62" s="1" t="n">
        <v>45347</v>
      </c>
      <c r="D62" t="inlineStr">
        <is>
          <t>SÖDERMANLANDS LÄN</t>
        </is>
      </c>
      <c r="E62" t="inlineStr">
        <is>
          <t>GNESTA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15198-2019</t>
        </is>
      </c>
      <c r="B63" s="1" t="n">
        <v>43539</v>
      </c>
      <c r="C63" s="1" t="n">
        <v>45347</v>
      </c>
      <c r="D63" t="inlineStr">
        <is>
          <t>SÖDERMANLANDS LÄN</t>
        </is>
      </c>
      <c r="E63" t="inlineStr">
        <is>
          <t>GNESTA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15041-2019</t>
        </is>
      </c>
      <c r="B64" s="1" t="n">
        <v>43539</v>
      </c>
      <c r="C64" s="1" t="n">
        <v>45347</v>
      </c>
      <c r="D64" t="inlineStr">
        <is>
          <t>SÖDERMANLANDS LÄN</t>
        </is>
      </c>
      <c r="E64" t="inlineStr">
        <is>
          <t>GNESTA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14803-2019</t>
        </is>
      </c>
      <c r="B65" s="1" t="n">
        <v>43539</v>
      </c>
      <c r="C65" s="1" t="n">
        <v>45347</v>
      </c>
      <c r="D65" t="inlineStr">
        <is>
          <t>SÖDERMANLANDS LÄN</t>
        </is>
      </c>
      <c r="E65" t="inlineStr">
        <is>
          <t>GNESTA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18002-2019</t>
        </is>
      </c>
      <c r="B66" s="1" t="n">
        <v>43556</v>
      </c>
      <c r="C66" s="1" t="n">
        <v>45347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45347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45347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45347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45347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45347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45347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45347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45347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45347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45347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45347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45347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45347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45347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45347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45347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45347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45347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45347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45347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45347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45347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45347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45347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45347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45347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45347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45347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45347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45347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45347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45347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45347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45347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45347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45347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45347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45347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45347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45347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45347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45347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45347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45347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45347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45347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45347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45347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45347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45347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45347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45347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45347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45347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45347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45347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45347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45347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45347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45347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45347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45347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45347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45347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45347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45347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45347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45347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45347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45347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45347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45347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45347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45347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45347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45347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45347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45347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45347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45347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45347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45347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45347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45347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45347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45347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45347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45347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45347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45347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45347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45347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45347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45347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45347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45347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45347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45347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45347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45347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45347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45347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45347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45347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45347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45347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45347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45347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45347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45347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45347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45347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45347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45347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45347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45347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22712-2021</t>
        </is>
      </c>
      <c r="B183" s="1" t="n">
        <v>44327</v>
      </c>
      <c r="C183" s="1" t="n">
        <v>45347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22906-2021</t>
        </is>
      </c>
      <c r="B184" s="1" t="n">
        <v>44328</v>
      </c>
      <c r="C184" s="1" t="n">
        <v>45347</v>
      </c>
      <c r="D184" t="inlineStr">
        <is>
          <t>SÖDERMANLANDS LÄN</t>
        </is>
      </c>
      <c r="E184" t="inlineStr">
        <is>
          <t>GNESTA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45347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45347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45347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45347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45347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45347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45347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45347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45347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45347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45347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45347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45347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45347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45347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45347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45347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45347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45347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45347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45347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45347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45347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45347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45347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45347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45347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45347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45347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45347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45347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45347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45347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45347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45347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45347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45347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45347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45347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45347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45347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45347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45347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45347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45347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45347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45347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45347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45347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45347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45347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45347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45347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45347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45347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45347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45347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45347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45347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45347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45347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45347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45347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45347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45347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45347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45347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45347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45347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45347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45347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45347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45347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45347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45347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45347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45347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45347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45347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45347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45347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45347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45347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45347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45347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45347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45347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45347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45347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45347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45347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45347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45347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45347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45347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45347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45347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45347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45347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45347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45347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45347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45347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45347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45347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45347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45347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45347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45347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45347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45347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45347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45347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45347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45347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45347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34029-2022</t>
        </is>
      </c>
      <c r="B301" s="1" t="n">
        <v>44791</v>
      </c>
      <c r="C301" s="1" t="n">
        <v>45347</v>
      </c>
      <c r="D301" t="inlineStr">
        <is>
          <t>SÖDERMANLANDS LÄN</t>
        </is>
      </c>
      <c r="E301" t="inlineStr">
        <is>
          <t>GNESTA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45347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45347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45347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45347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45347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45347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45347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45347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45347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45347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45347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45347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45347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45347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45347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45347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45347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45347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45347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45347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45347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45347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45347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45347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45347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45347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45347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45347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45347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45347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45347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45347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45347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45347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45347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45347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45347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45347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45347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45347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45347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45347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45347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45347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45347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45347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45347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45347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45347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45347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45347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45347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45347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45347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45347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45347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45347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45347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45347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45347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45347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45347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45347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45347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45347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45347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45347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45347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45347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45347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45347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45347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45347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45347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45347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45347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45347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45347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45347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45347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45347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45347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45347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45347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45347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45347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45347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45347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45347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45347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45347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17653-2023</t>
        </is>
      </c>
      <c r="B393" s="1" t="n">
        <v>45036</v>
      </c>
      <c r="C393" s="1" t="n">
        <v>45347</v>
      </c>
      <c r="D393" t="inlineStr">
        <is>
          <t>SÖDERMANLANDS LÄN</t>
        </is>
      </c>
      <c r="E393" t="inlineStr">
        <is>
          <t>GNESTA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45347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45347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45347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45347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45347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45347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45347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45347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45347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45347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45347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45347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45347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45347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45347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45347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45347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45347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45347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45347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45347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45347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45347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45347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45347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45347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45347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45347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45347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45347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45347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45347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45347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45347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45347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45347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45347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45347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45347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45347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45347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45347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45347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45347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45347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45347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45347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45347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45347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45347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45347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45347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45347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45347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45347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45347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45347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45347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45347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45347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45347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45347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45347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45347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45347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45347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45347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45347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45347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45347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45347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45347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45347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45347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45347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45347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45347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45347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45347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45347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45347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45347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45347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45347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45347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45347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45347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45347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45347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62653-2023</t>
        </is>
      </c>
      <c r="B483" s="1" t="n">
        <v>45271</v>
      </c>
      <c r="C483" s="1" t="n">
        <v>45347</v>
      </c>
      <c r="D483" t="inlineStr">
        <is>
          <t>SÖDERMANLANDS LÄN</t>
        </is>
      </c>
      <c r="E483" t="inlineStr">
        <is>
          <t>GNESTA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45347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45347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45347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45347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45347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45347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62912-2023</t>
        </is>
      </c>
      <c r="B490" s="1" t="n">
        <v>45272</v>
      </c>
      <c r="C490" s="1" t="n">
        <v>45347</v>
      </c>
      <c r="D490" t="inlineStr">
        <is>
          <t>SÖDERMANLANDS LÄN</t>
        </is>
      </c>
      <c r="E490" t="inlineStr">
        <is>
          <t>GNESTA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45347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45347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45347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45347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45347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64324-2023</t>
        </is>
      </c>
      <c r="B496" s="1" t="n">
        <v>45280</v>
      </c>
      <c r="C496" s="1" t="n">
        <v>45347</v>
      </c>
      <c r="D496" t="inlineStr">
        <is>
          <t>SÖDERMANLANDS LÄN</t>
        </is>
      </c>
      <c r="E496" t="inlineStr">
        <is>
          <t>GNESTA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45347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65000-2023</t>
        </is>
      </c>
      <c r="B498" s="1" t="n">
        <v>45286</v>
      </c>
      <c r="C498" s="1" t="n">
        <v>45347</v>
      </c>
      <c r="D498" t="inlineStr">
        <is>
          <t>SÖDERMANLANDS LÄN</t>
        </is>
      </c>
      <c r="E498" t="inlineStr">
        <is>
          <t>GNESTA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45347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45347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45347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45347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45347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45347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45347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45347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45347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45347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45347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45347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45347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45347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45347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45347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45347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6519-2024</t>
        </is>
      </c>
      <c r="B516" s="1" t="n">
        <v>45341</v>
      </c>
      <c r="C516" s="1" t="n">
        <v>45347</v>
      </c>
      <c r="D516" t="inlineStr">
        <is>
          <t>SÖDERMANLANDS LÄN</t>
        </is>
      </c>
      <c r="E516" t="inlineStr">
        <is>
          <t>GNESTA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6521-2024</t>
        </is>
      </c>
      <c r="B517" s="1" t="n">
        <v>45341</v>
      </c>
      <c r="C517" s="1" t="n">
        <v>45347</v>
      </c>
      <c r="D517" t="inlineStr">
        <is>
          <t>SÖDERMANLANDS LÄN</t>
        </is>
      </c>
      <c r="E517" t="inlineStr">
        <is>
          <t>GNESTA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6520-2024</t>
        </is>
      </c>
      <c r="B518" s="1" t="n">
        <v>45341</v>
      </c>
      <c r="C518" s="1" t="n">
        <v>45347</v>
      </c>
      <c r="D518" t="inlineStr">
        <is>
          <t>SÖDERMANLANDS LÄN</t>
        </is>
      </c>
      <c r="E518" t="inlineStr">
        <is>
          <t>GNESTA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45347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45347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7423-2024</t>
        </is>
      </c>
      <c r="B521" s="1" t="n">
        <v>45345</v>
      </c>
      <c r="C521" s="1" t="n">
        <v>45347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2024-02-25T12:50:20Z</dcterms:created>
  <dcterms:modified xmlns:dcterms="http://purl.org/dc/terms/" xmlns:xsi="http://www.w3.org/2001/XMLSchema-instance" xsi:type="dcterms:W3CDTF">2024-02-25T12:50:21Z</dcterms:modified>
</cp:coreProperties>
</file>