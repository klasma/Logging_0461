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45641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45641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45641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45641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45641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45641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45641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45641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45641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45641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45641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45641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45641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45641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45641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45641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45641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45641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45641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45641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45641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45641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45641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45641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45641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45641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45641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45641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45641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45641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45641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45641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45641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45641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45641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45641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45641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45641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45641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45641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45641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45641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45641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45641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45641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45641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45641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45641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45641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45641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45641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45641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45641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45641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45641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45641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45641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45641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45641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51217-2024</t>
        </is>
      </c>
      <c r="B61" s="1" t="n">
        <v>45603</v>
      </c>
      <c r="C61" s="1" t="n">
        <v>45641</v>
      </c>
      <c r="D61" t="inlineStr">
        <is>
          <t>SÖDERMANLANDS LÄN</t>
        </is>
      </c>
      <c r="E61" t="inlineStr">
        <is>
          <t>GNESTA</t>
        </is>
      </c>
      <c r="G61" t="n">
        <v>16.6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HYPERLINK("https://klasma.github.io/Logging_0461/artfynd/A 51217-2024 artfynd.xlsx", "A 51217-2024")</f>
        <v/>
      </c>
      <c r="T61">
        <f>HYPERLINK("https://klasma.github.io/Logging_0461/kartor/A 51217-2024 karta.png", "A 51217-2024")</f>
        <v/>
      </c>
      <c r="V61">
        <f>HYPERLINK("https://klasma.github.io/Logging_0461/klagomål/A 51217-2024 FSC-klagomål.docx", "A 51217-2024")</f>
        <v/>
      </c>
      <c r="W61">
        <f>HYPERLINK("https://klasma.github.io/Logging_0461/klagomålsmail/A 51217-2024 FSC-klagomål mail.docx", "A 51217-2024")</f>
        <v/>
      </c>
      <c r="X61">
        <f>HYPERLINK("https://klasma.github.io/Logging_0461/tillsyn/A 51217-2024 tillsynsbegäran.docx", "A 51217-2024")</f>
        <v/>
      </c>
      <c r="Y61">
        <f>HYPERLINK("https://klasma.github.io/Logging_0461/tillsynsmail/A 51217-2024 tillsynsbegäran mail.docx", "A 51217-2024")</f>
        <v/>
      </c>
    </row>
    <row r="62" ht="15" customHeight="1">
      <c r="A62" t="inlineStr">
        <is>
          <t>A 51095-2024</t>
        </is>
      </c>
      <c r="B62" s="1" t="n">
        <v>45603</v>
      </c>
      <c r="C62" s="1" t="n">
        <v>45641</v>
      </c>
      <c r="D62" t="inlineStr">
        <is>
          <t>SÖDERMANLANDS LÄN</t>
        </is>
      </c>
      <c r="E62" t="inlineStr">
        <is>
          <t>GNESTA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51095-2024 artfynd.xlsx", "A 51095-2024")</f>
        <v/>
      </c>
      <c r="T62">
        <f>HYPERLINK("https://klasma.github.io/Logging_0461/kartor/A 51095-2024 karta.png", "A 51095-2024")</f>
        <v/>
      </c>
      <c r="V62">
        <f>HYPERLINK("https://klasma.github.io/Logging_0461/klagomål/A 51095-2024 FSC-klagomål.docx", "A 51095-2024")</f>
        <v/>
      </c>
      <c r="W62">
        <f>HYPERLINK("https://klasma.github.io/Logging_0461/klagomålsmail/A 51095-2024 FSC-klagomål mail.docx", "A 51095-2024")</f>
        <v/>
      </c>
      <c r="X62">
        <f>HYPERLINK("https://klasma.github.io/Logging_0461/tillsyn/A 51095-2024 tillsynsbegäran.docx", "A 51095-2024")</f>
        <v/>
      </c>
      <c r="Y62">
        <f>HYPERLINK("https://klasma.github.io/Logging_0461/tillsynsmail/A 51095-2024 tillsynsbegäran mail.docx", "A 51095-2024")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45641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45641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45641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45641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45641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45641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45641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45641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45641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45641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45641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45641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45641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45641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45641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45641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45641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45641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45641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45641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45641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45641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45641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45641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45641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45641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45641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45641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45641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45641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45641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45641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45641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45641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45641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45641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45641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45641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45641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45641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45641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45641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45641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45641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45641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45641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45641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45641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45641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45641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45641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45641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45641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45641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45641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45641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45641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45641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45641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45641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45641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45641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45641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45641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45641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45641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45641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45641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45641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45641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45641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45641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45641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45641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45641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45641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45641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45641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45641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45641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45641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45641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45641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45641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45641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45641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45641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45641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45641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45641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45641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45641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45641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45641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45641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45641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45641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45641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45641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45641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45641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45641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45641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45641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45641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45641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45641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45641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45641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45641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45641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45641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45641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45641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45641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45641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45641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45641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45641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45641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45641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45641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45641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45641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45641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45641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45641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45641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45641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45641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45641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45641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45641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45641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45641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45641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45641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45641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45641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45641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45641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45641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45641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45641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45641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45641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45641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45641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45641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45641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45641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45641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45641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45641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45641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45641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45641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45641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45641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45641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45641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45641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45641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45641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45641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45641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45641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45641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45641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45641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45641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45641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45641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45641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45641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45641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45641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45641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45641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45641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45641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45641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45641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45641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45641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45641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45641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45641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45641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45641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45641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45641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45641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45641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45641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45641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45641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45641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45641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45641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45641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45641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45641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45641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45641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45641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45641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45641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45641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45641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45641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45641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45641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45641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45641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45641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45641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45641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45641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45641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45641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45641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45641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45641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45641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45641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45641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45641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45641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45641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45641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45641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45641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45641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45641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45641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45641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45641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45641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45641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45641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45641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45641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45641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45641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45641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45641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45641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45641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45641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45641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45641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45641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45641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45641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45641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45641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45641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45641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45641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45641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45641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45641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45641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45641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45641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45641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45641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45641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45641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45641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45641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45641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45641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45641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45641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45641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45641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45641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45641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45641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45641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45641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45641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45641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45641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45641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45641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45641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45641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45641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45641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45641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45641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45641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45641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45641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45641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45641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45641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45641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45641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45641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45641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45641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45641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45641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45641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45641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45641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45641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45641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45641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45641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45641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45641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45641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45641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45641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45641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45641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45641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45641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45641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45641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45641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45641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45641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45641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45641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45641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45641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45641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45641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45641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45641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45641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45641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45641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45641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45641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45641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45641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45641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45641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45641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45641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45641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45641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45641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45641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45641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45641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45641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45641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45641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45641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45641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45641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45641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45641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45641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45641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45641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45641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45641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45641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45641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45641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45641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45641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45641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45641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45641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45641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45641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45641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45641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45641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45641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45641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45641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45641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45641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45641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45641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45641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45641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45641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45641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45641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45641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45641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45641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45641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45641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45641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45641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45641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45641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45641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45641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45641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45641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45641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45641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45641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45641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45641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45641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45641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45641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45641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45641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45641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45641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45641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45641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45641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45641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45641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45641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45641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45641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45641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45641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45641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45641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45641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45641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45641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45641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45641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45641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45641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45641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45641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45641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45641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45641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45641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45641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45641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45641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45641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45641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45641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45641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45641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45641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45641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45641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45641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45641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45641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45641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45641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45641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45641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45641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45641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45641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45641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45641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45641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45641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45641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45641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45641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45641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45641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45641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45641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45641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45641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45641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45641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45641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45641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45641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45641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45641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45641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45641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45641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45641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45641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45641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45641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45641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45641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45641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45641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45641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45641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45641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45641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45641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45641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45641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45641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45641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45641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45641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45641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45641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45641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45641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45641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45641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45641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45641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45641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45641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45641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45641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45641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45641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45641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45641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45641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50859-2024</t>
        </is>
      </c>
      <c r="B584" s="1" t="n">
        <v>45602</v>
      </c>
      <c r="C584" s="1" t="n">
        <v>45641</v>
      </c>
      <c r="D584" t="inlineStr">
        <is>
          <t>SÖDERMANLANDS LÄN</t>
        </is>
      </c>
      <c r="E584" t="inlineStr">
        <is>
          <t>GNESTA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50843-2024</t>
        </is>
      </c>
      <c r="B585" s="1" t="n">
        <v>45602</v>
      </c>
      <c r="C585" s="1" t="n">
        <v>45641</v>
      </c>
      <c r="D585" t="inlineStr">
        <is>
          <t>SÖDERMANLANDS LÄN</t>
        </is>
      </c>
      <c r="E585" t="inlineStr">
        <is>
          <t>GNESTA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45641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45641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54307-2024</t>
        </is>
      </c>
      <c r="B588" s="1" t="n">
        <v>45617</v>
      </c>
      <c r="C588" s="1" t="n">
        <v>45641</v>
      </c>
      <c r="D588" t="inlineStr">
        <is>
          <t>SÖDERMANLANDS LÄN</t>
        </is>
      </c>
      <c r="E588" t="inlineStr">
        <is>
          <t>GNESTA</t>
        </is>
      </c>
      <c r="G588" t="n">
        <v>34.8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55619-2024</t>
        </is>
      </c>
      <c r="B589" s="1" t="n">
        <v>45622</v>
      </c>
      <c r="C589" s="1" t="n">
        <v>45641</v>
      </c>
      <c r="D589" t="inlineStr">
        <is>
          <t>SÖDERMANLANDS LÄN</t>
        </is>
      </c>
      <c r="E589" t="inlineStr">
        <is>
          <t>GNESTA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57014-2024</t>
        </is>
      </c>
      <c r="B590" s="1" t="n">
        <v>45628</v>
      </c>
      <c r="C590" s="1" t="n">
        <v>45641</v>
      </c>
      <c r="D590" t="inlineStr">
        <is>
          <t>SÖDERMANLANDS LÄN</t>
        </is>
      </c>
      <c r="E590" t="inlineStr">
        <is>
          <t>GNESTA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57765-2024</t>
        </is>
      </c>
      <c r="B591" s="1" t="n">
        <v>45630</v>
      </c>
      <c r="C591" s="1" t="n">
        <v>45641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57569-2024</t>
        </is>
      </c>
      <c r="B592" s="1" t="n">
        <v>45630</v>
      </c>
      <c r="C592" s="1" t="n">
        <v>45641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2024-12-15T15:18:43Z</dcterms:created>
  <dcterms:modified xmlns:dcterms="http://purl.org/dc/terms/" xmlns:xsi="http://www.w3.org/2001/XMLSchema-instance" xsi:type="dcterms:W3CDTF">2024-12-15T15:18:43Z</dcterms:modified>
</cp:coreProperties>
</file>