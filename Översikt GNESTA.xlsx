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45512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45512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45512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45512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45512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45512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45512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45512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45512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45512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45512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45512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45512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45512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45512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45512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45512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45512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45512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45512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45512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45512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22712-2021</t>
        </is>
      </c>
      <c r="B24" s="1" t="n">
        <v>44327</v>
      </c>
      <c r="C24" s="1" t="n">
        <v>45512</v>
      </c>
      <c r="D24" t="inlineStr">
        <is>
          <t>SÖDERMANLANDS LÄN</t>
        </is>
      </c>
      <c r="E24" t="inlineStr">
        <is>
          <t>GNESTA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HYPERLINK("https://klasma.github.io/Logging_0461/artfynd/A 22712-2021 artfynd.xlsx", "A 22712-2021")</f>
        <v/>
      </c>
      <c r="T24">
        <f>HYPERLINK("https://klasma.github.io/Logging_0461/kartor/A 22712-2021 karta.png", "A 22712-2021")</f>
        <v/>
      </c>
      <c r="V24">
        <f>HYPERLINK("https://klasma.github.io/Logging_0461/klagomål/A 22712-2021 FSC-klagomål.docx", "A 22712-2021")</f>
        <v/>
      </c>
      <c r="W24">
        <f>HYPERLINK("https://klasma.github.io/Logging_0461/klagomålsmail/A 22712-2021 FSC-klagomål mail.docx", "A 22712-2021")</f>
        <v/>
      </c>
      <c r="X24">
        <f>HYPERLINK("https://klasma.github.io/Logging_0461/tillsyn/A 22712-2021 tillsynsbegäran.docx", "A 22712-2021")</f>
        <v/>
      </c>
      <c r="Y24">
        <f>HYPERLINK("https://klasma.github.io/Logging_0461/tillsynsmail/A 22712-2021 tillsynsbegäran mail.docx", "A 22712-2021")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45512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45512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45512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42227-2022</t>
        </is>
      </c>
      <c r="B28" s="1" t="n">
        <v>44830</v>
      </c>
      <c r="C28" s="1" t="n">
        <v>45512</v>
      </c>
      <c r="D28" t="inlineStr">
        <is>
          <t>SÖDERMANLANDS LÄN</t>
        </is>
      </c>
      <c r="E28" t="inlineStr">
        <is>
          <t>GNESTA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HYPERLINK("https://klasma.github.io/Logging_0461/artfynd/A 42227-2022 artfynd.xlsx", "A 42227-2022")</f>
        <v/>
      </c>
      <c r="T28">
        <f>HYPERLINK("https://klasma.github.io/Logging_0461/kartor/A 42227-2022 karta.png", "A 42227-2022")</f>
        <v/>
      </c>
      <c r="V28">
        <f>HYPERLINK("https://klasma.github.io/Logging_0461/klagomål/A 42227-2022 FSC-klagomål.docx", "A 42227-2022")</f>
        <v/>
      </c>
      <c r="W28">
        <f>HYPERLINK("https://klasma.github.io/Logging_0461/klagomålsmail/A 42227-2022 FSC-klagomål mail.docx", "A 42227-2022")</f>
        <v/>
      </c>
      <c r="X28">
        <f>HYPERLINK("https://klasma.github.io/Logging_0461/tillsyn/A 42227-2022 tillsynsbegäran.docx", "A 42227-2022")</f>
        <v/>
      </c>
      <c r="Y28">
        <f>HYPERLINK("https://klasma.github.io/Logging_0461/tillsynsmail/A 42227-2022 tillsynsbegäran mail.docx", "A 42227-2022")</f>
        <v/>
      </c>
    </row>
    <row r="29" ht="15" customHeight="1">
      <c r="A29" t="inlineStr">
        <is>
          <t>A 44782-2022</t>
        </is>
      </c>
      <c r="B29" s="1" t="n">
        <v>44839</v>
      </c>
      <c r="C29" s="1" t="n">
        <v>45512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Bredbrämad bastardsvärmare</t>
        </is>
      </c>
      <c r="S29">
        <f>HYPERLINK("https://klasma.github.io/Logging_0461/artfynd/A 44782-2022 artfynd.xlsx", "A 44782-2022")</f>
        <v/>
      </c>
      <c r="T29">
        <f>HYPERLINK("https://klasma.github.io/Logging_0461/kartor/A 44782-2022 karta.png", "A 44782-2022")</f>
        <v/>
      </c>
      <c r="V29">
        <f>HYPERLINK("https://klasma.github.io/Logging_0461/klagomål/A 44782-2022 FSC-klagomål.docx", "A 44782-2022")</f>
        <v/>
      </c>
      <c r="W29">
        <f>HYPERLINK("https://klasma.github.io/Logging_0461/klagomålsmail/A 44782-2022 FSC-klagomål mail.docx", "A 44782-2022")</f>
        <v/>
      </c>
      <c r="X29">
        <f>HYPERLINK("https://klasma.github.io/Logging_0461/tillsyn/A 44782-2022 tillsynsbegäran.docx", "A 44782-2022")</f>
        <v/>
      </c>
      <c r="Y29">
        <f>HYPERLINK("https://klasma.github.io/Logging_0461/tillsynsmail/A 44782-2022 tillsynsbegäran mail.docx", "A 44782-2022")</f>
        <v/>
      </c>
    </row>
    <row r="30" ht="15" customHeight="1">
      <c r="A30" t="inlineStr">
        <is>
          <t>A 45656-2022</t>
        </is>
      </c>
      <c r="B30" s="1" t="n">
        <v>44841</v>
      </c>
      <c r="C30" s="1" t="n">
        <v>45512</v>
      </c>
      <c r="D30" t="inlineStr">
        <is>
          <t>SÖDERMANLANDS LÄN</t>
        </is>
      </c>
      <c r="E30" t="inlineStr">
        <is>
          <t>GNESTA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45656-2022 artfynd.xlsx", "A 45656-2022")</f>
        <v/>
      </c>
      <c r="T30">
        <f>HYPERLINK("https://klasma.github.io/Logging_0461/kartor/A 45656-2022 karta.png", "A 45656-2022")</f>
        <v/>
      </c>
      <c r="V30">
        <f>HYPERLINK("https://klasma.github.io/Logging_0461/klagomål/A 45656-2022 FSC-klagomål.docx", "A 45656-2022")</f>
        <v/>
      </c>
      <c r="W30">
        <f>HYPERLINK("https://klasma.github.io/Logging_0461/klagomålsmail/A 45656-2022 FSC-klagomål mail.docx", "A 45656-2022")</f>
        <v/>
      </c>
      <c r="X30">
        <f>HYPERLINK("https://klasma.github.io/Logging_0461/tillsyn/A 45656-2022 tillsynsbegäran.docx", "A 45656-2022")</f>
        <v/>
      </c>
      <c r="Y30">
        <f>HYPERLINK("https://klasma.github.io/Logging_0461/tillsynsmail/A 45656-2022 tillsynsbegäran mail.docx", "A 45656-2022")</f>
        <v/>
      </c>
    </row>
    <row r="31" ht="15" customHeight="1">
      <c r="A31" t="inlineStr">
        <is>
          <t>A 49460-2022</t>
        </is>
      </c>
      <c r="B31" s="1" t="n">
        <v>44861</v>
      </c>
      <c r="C31" s="1" t="n">
        <v>45512</v>
      </c>
      <c r="D31" t="inlineStr">
        <is>
          <t>SÖDERMANLANDS LÄN</t>
        </is>
      </c>
      <c r="E31" t="inlineStr">
        <is>
          <t>GNESTA</t>
        </is>
      </c>
      <c r="G31" t="n">
        <v>8.5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HYPERLINK("https://klasma.github.io/Logging_0461/artfynd/A 49460-2022 artfynd.xlsx", "A 49460-2022")</f>
        <v/>
      </c>
      <c r="T31">
        <f>HYPERLINK("https://klasma.github.io/Logging_0461/kartor/A 49460-2022 karta.png", "A 49460-2022")</f>
        <v/>
      </c>
      <c r="V31">
        <f>HYPERLINK("https://klasma.github.io/Logging_0461/klagomål/A 49460-2022 FSC-klagomål.docx", "A 49460-2022")</f>
        <v/>
      </c>
      <c r="W31">
        <f>HYPERLINK("https://klasma.github.io/Logging_0461/klagomålsmail/A 49460-2022 FSC-klagomål mail.docx", "A 49460-2022")</f>
        <v/>
      </c>
      <c r="X31">
        <f>HYPERLINK("https://klasma.github.io/Logging_0461/tillsyn/A 49460-2022 tillsynsbegäran.docx", "A 49460-2022")</f>
        <v/>
      </c>
      <c r="Y31">
        <f>HYPERLINK("https://klasma.github.io/Logging_0461/tillsynsmail/A 49460-2022 tillsynsbegäran mail.docx", "A 49460-2022")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45512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45512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61986-2022</t>
        </is>
      </c>
      <c r="B34" s="1" t="n">
        <v>44918</v>
      </c>
      <c r="C34" s="1" t="n">
        <v>45512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7.5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61986-2022 artfynd.xlsx", "A 61986-2022")</f>
        <v/>
      </c>
      <c r="T34">
        <f>HYPERLINK("https://klasma.github.io/Logging_0461/kartor/A 61986-2022 karta.png", "A 61986-2022")</f>
        <v/>
      </c>
      <c r="V34">
        <f>HYPERLINK("https://klasma.github.io/Logging_0461/klagomål/A 61986-2022 FSC-klagomål.docx", "A 61986-2022")</f>
        <v/>
      </c>
      <c r="W34">
        <f>HYPERLINK("https://klasma.github.io/Logging_0461/klagomålsmail/A 61986-2022 FSC-klagomål mail.docx", "A 61986-2022")</f>
        <v/>
      </c>
      <c r="X34">
        <f>HYPERLINK("https://klasma.github.io/Logging_0461/tillsyn/A 61986-2022 tillsynsbegäran.docx", "A 61986-2022")</f>
        <v/>
      </c>
      <c r="Y34">
        <f>HYPERLINK("https://klasma.github.io/Logging_0461/tillsynsmail/A 61986-2022 tillsynsbegäran mail.docx", "A 61986-2022")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45512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6395-2023</t>
        </is>
      </c>
      <c r="B36" s="1" t="n">
        <v>44965</v>
      </c>
      <c r="C36" s="1" t="n">
        <v>45512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45512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45512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45512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8019-2023</t>
        </is>
      </c>
      <c r="B40" s="1" t="n">
        <v>44973</v>
      </c>
      <c r="C40" s="1" t="n">
        <v>45512</v>
      </c>
      <c r="D40" t="inlineStr">
        <is>
          <t>SÖDERMANLANDS LÄN</t>
        </is>
      </c>
      <c r="E40" t="inlineStr">
        <is>
          <t>GNESTA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HYPERLINK("https://klasma.github.io/Logging_0461/artfynd/A 8019-2023 artfynd.xlsx", "A 8019-2023")</f>
        <v/>
      </c>
      <c r="T40">
        <f>HYPERLINK("https://klasma.github.io/Logging_0461/kartor/A 8019-2023 karta.png", "A 8019-2023")</f>
        <v/>
      </c>
      <c r="V40">
        <f>HYPERLINK("https://klasma.github.io/Logging_0461/klagomål/A 8019-2023 FSC-klagomål.docx", "A 8019-2023")</f>
        <v/>
      </c>
      <c r="W40">
        <f>HYPERLINK("https://klasma.github.io/Logging_0461/klagomålsmail/A 8019-2023 FSC-klagomål mail.docx", "A 8019-2023")</f>
        <v/>
      </c>
      <c r="X40">
        <f>HYPERLINK("https://klasma.github.io/Logging_0461/tillsyn/A 8019-2023 tillsynsbegäran.docx", "A 8019-2023")</f>
        <v/>
      </c>
      <c r="Y40">
        <f>HYPERLINK("https://klasma.github.io/Logging_0461/tillsynsmail/A 8019-2023 tillsynsbegäran mail.docx", "A 8019-2023")</f>
        <v/>
      </c>
    </row>
    <row r="41" ht="15" customHeight="1">
      <c r="A41" t="inlineStr">
        <is>
          <t>A 9303-2023</t>
        </is>
      </c>
      <c r="B41" s="1" t="n">
        <v>44980</v>
      </c>
      <c r="C41" s="1" t="n">
        <v>45512</v>
      </c>
      <c r="D41" t="inlineStr">
        <is>
          <t>SÖDERMANLANDS LÄN</t>
        </is>
      </c>
      <c r="E41" t="inlineStr">
        <is>
          <t>GNESTA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Zontaggsvamp</t>
        </is>
      </c>
      <c r="S41">
        <f>HYPERLINK("https://klasma.github.io/Logging_0461/artfynd/A 9303-2023 artfynd.xlsx", "A 9303-2023")</f>
        <v/>
      </c>
      <c r="T41">
        <f>HYPERLINK("https://klasma.github.io/Logging_0461/kartor/A 9303-2023 karta.png", "A 9303-2023")</f>
        <v/>
      </c>
      <c r="V41">
        <f>HYPERLINK("https://klasma.github.io/Logging_0461/klagomål/A 9303-2023 FSC-klagomål.docx", "A 9303-2023")</f>
        <v/>
      </c>
      <c r="W41">
        <f>HYPERLINK("https://klasma.github.io/Logging_0461/klagomålsmail/A 9303-2023 FSC-klagomål mail.docx", "A 9303-2023")</f>
        <v/>
      </c>
      <c r="X41">
        <f>HYPERLINK("https://klasma.github.io/Logging_0461/tillsyn/A 9303-2023 tillsynsbegäran.docx", "A 9303-2023")</f>
        <v/>
      </c>
      <c r="Y41">
        <f>HYPERLINK("https://klasma.github.io/Logging_0461/tillsynsmail/A 9303-2023 tillsynsbegäran mail.docx", "A 9303-2023")</f>
        <v/>
      </c>
    </row>
    <row r="42" ht="15" customHeight="1">
      <c r="A42" t="inlineStr">
        <is>
          <t>A 12174-2023</t>
        </is>
      </c>
      <c r="B42" s="1" t="n">
        <v>44995</v>
      </c>
      <c r="C42" s="1" t="n">
        <v>45512</v>
      </c>
      <c r="D42" t="inlineStr">
        <is>
          <t>SÖDERMANLANDS LÄN</t>
        </is>
      </c>
      <c r="E42" t="inlineStr">
        <is>
          <t>GNESTA</t>
        </is>
      </c>
      <c r="G42" t="n">
        <v>11.2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12174-2023 artfynd.xlsx", "A 12174-2023")</f>
        <v/>
      </c>
      <c r="T42">
        <f>HYPERLINK("https://klasma.github.io/Logging_0461/kartor/A 12174-2023 karta.png", "A 12174-2023")</f>
        <v/>
      </c>
      <c r="V42">
        <f>HYPERLINK("https://klasma.github.io/Logging_0461/klagomål/A 12174-2023 FSC-klagomål.docx", "A 12174-2023")</f>
        <v/>
      </c>
      <c r="W42">
        <f>HYPERLINK("https://klasma.github.io/Logging_0461/klagomålsmail/A 12174-2023 FSC-klagomål mail.docx", "A 12174-2023")</f>
        <v/>
      </c>
      <c r="X42">
        <f>HYPERLINK("https://klasma.github.io/Logging_0461/tillsyn/A 12174-2023 tillsynsbegäran.docx", "A 12174-2023")</f>
        <v/>
      </c>
      <c r="Y42">
        <f>HYPERLINK("https://klasma.github.io/Logging_0461/tillsynsmail/A 12174-2023 tillsynsbegäran mail.docx", "A 12174-2023")</f>
        <v/>
      </c>
    </row>
    <row r="43" ht="15" customHeight="1">
      <c r="A43" t="inlineStr">
        <is>
          <t>A 17653-2023</t>
        </is>
      </c>
      <c r="B43" s="1" t="n">
        <v>45036</v>
      </c>
      <c r="C43" s="1" t="n">
        <v>45512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Bronspraktbagge</t>
        </is>
      </c>
      <c r="S43">
        <f>HYPERLINK("https://klasma.github.io/Logging_0461/artfynd/A 17653-2023 artfynd.xlsx", "A 17653-2023")</f>
        <v/>
      </c>
      <c r="T43">
        <f>HYPERLINK("https://klasma.github.io/Logging_0461/kartor/A 17653-2023 karta.png", "A 17653-2023")</f>
        <v/>
      </c>
      <c r="V43">
        <f>HYPERLINK("https://klasma.github.io/Logging_0461/klagomål/A 17653-2023 FSC-klagomål.docx", "A 17653-2023")</f>
        <v/>
      </c>
      <c r="W43">
        <f>HYPERLINK("https://klasma.github.io/Logging_0461/klagomålsmail/A 17653-2023 FSC-klagomål mail.docx", "A 17653-2023")</f>
        <v/>
      </c>
      <c r="X43">
        <f>HYPERLINK("https://klasma.github.io/Logging_0461/tillsyn/A 17653-2023 tillsynsbegäran.docx", "A 17653-2023")</f>
        <v/>
      </c>
      <c r="Y43">
        <f>HYPERLINK("https://klasma.github.io/Logging_0461/tillsynsmail/A 17653-2023 tillsynsbegäran mail.docx", "A 17653-2023")</f>
        <v/>
      </c>
    </row>
    <row r="44" ht="15" customHeight="1">
      <c r="A44" t="inlineStr">
        <is>
          <t>A 33639-2023</t>
        </is>
      </c>
      <c r="B44" s="1" t="n">
        <v>45119</v>
      </c>
      <c r="C44" s="1" t="n">
        <v>45512</v>
      </c>
      <c r="D44" t="inlineStr">
        <is>
          <t>SÖDERMANLANDS LÄN</t>
        </is>
      </c>
      <c r="E44" t="inlineStr">
        <is>
          <t>GNESTA</t>
        </is>
      </c>
      <c r="G44" t="n">
        <v>6.1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HYPERLINK("https://klasma.github.io/Logging_0461/artfynd/A 33639-2023 artfynd.xlsx", "A 33639-2023")</f>
        <v/>
      </c>
      <c r="T44">
        <f>HYPERLINK("https://klasma.github.io/Logging_0461/kartor/A 33639-2023 karta.png", "A 33639-2023")</f>
        <v/>
      </c>
      <c r="V44">
        <f>HYPERLINK("https://klasma.github.io/Logging_0461/klagomål/A 33639-2023 FSC-klagomål.docx", "A 33639-2023")</f>
        <v/>
      </c>
      <c r="W44">
        <f>HYPERLINK("https://klasma.github.io/Logging_0461/klagomålsmail/A 33639-2023 FSC-klagomål mail.docx", "A 33639-2023")</f>
        <v/>
      </c>
      <c r="X44">
        <f>HYPERLINK("https://klasma.github.io/Logging_0461/tillsyn/A 33639-2023 tillsynsbegäran.docx", "A 33639-2023")</f>
        <v/>
      </c>
      <c r="Y44">
        <f>HYPERLINK("https://klasma.github.io/Logging_0461/tillsynsmail/A 33639-2023 tillsynsbegäran mail.docx", "A 33639-2023")</f>
        <v/>
      </c>
    </row>
    <row r="45" ht="15" customHeight="1">
      <c r="A45" t="inlineStr">
        <is>
          <t>A 40267-2023</t>
        </is>
      </c>
      <c r="B45" s="1" t="n">
        <v>45169</v>
      </c>
      <c r="C45" s="1" t="n">
        <v>45512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40267-2023 artfynd.xlsx", "A 40267-2023")</f>
        <v/>
      </c>
      <c r="T45">
        <f>HYPERLINK("https://klasma.github.io/Logging_0461/kartor/A 40267-2023 karta.png", "A 40267-2023")</f>
        <v/>
      </c>
      <c r="V45">
        <f>HYPERLINK("https://klasma.github.io/Logging_0461/klagomål/A 40267-2023 FSC-klagomål.docx", "A 40267-2023")</f>
        <v/>
      </c>
      <c r="W45">
        <f>HYPERLINK("https://klasma.github.io/Logging_0461/klagomålsmail/A 40267-2023 FSC-klagomål mail.docx", "A 40267-2023")</f>
        <v/>
      </c>
      <c r="X45">
        <f>HYPERLINK("https://klasma.github.io/Logging_0461/tillsyn/A 40267-2023 tillsynsbegäran.docx", "A 40267-2023")</f>
        <v/>
      </c>
      <c r="Y45">
        <f>HYPERLINK("https://klasma.github.io/Logging_0461/tillsynsmail/A 40267-2023 tillsynsbegäran mail.docx", "A 40267-2023")</f>
        <v/>
      </c>
    </row>
    <row r="46" ht="15" customHeight="1">
      <c r="A46" t="inlineStr">
        <is>
          <t>A 42552-2023</t>
        </is>
      </c>
      <c r="B46" s="1" t="n">
        <v>45181</v>
      </c>
      <c r="C46" s="1" t="n">
        <v>45512</v>
      </c>
      <c r="D46" t="inlineStr">
        <is>
          <t>SÖDERMANLANDS LÄN</t>
        </is>
      </c>
      <c r="E46" t="inlineStr">
        <is>
          <t>GNESTA</t>
        </is>
      </c>
      <c r="F46" t="inlineStr">
        <is>
          <t>Holmen skog AB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42552-2023 artfynd.xlsx", "A 42552-2023")</f>
        <v/>
      </c>
      <c r="T46">
        <f>HYPERLINK("https://klasma.github.io/Logging_0461/kartor/A 42552-2023 karta.png", "A 42552-2023")</f>
        <v/>
      </c>
      <c r="V46">
        <f>HYPERLINK("https://klasma.github.io/Logging_0461/klagomål/A 42552-2023 FSC-klagomål.docx", "A 42552-2023")</f>
        <v/>
      </c>
      <c r="W46">
        <f>HYPERLINK("https://klasma.github.io/Logging_0461/klagomålsmail/A 42552-2023 FSC-klagomål mail.docx", "A 42552-2023")</f>
        <v/>
      </c>
      <c r="X46">
        <f>HYPERLINK("https://klasma.github.io/Logging_0461/tillsyn/A 42552-2023 tillsynsbegäran.docx", "A 42552-2023")</f>
        <v/>
      </c>
      <c r="Y46">
        <f>HYPERLINK("https://klasma.github.io/Logging_0461/tillsynsmail/A 42552-2023 tillsynsbegäran mail.docx", "A 42552-2023")</f>
        <v/>
      </c>
    </row>
    <row r="47" ht="15" customHeight="1">
      <c r="A47" t="inlineStr">
        <is>
          <t>A 62737-2023</t>
        </is>
      </c>
      <c r="B47" s="1" t="n">
        <v>45271</v>
      </c>
      <c r="C47" s="1" t="n">
        <v>45512</v>
      </c>
      <c r="D47" t="inlineStr">
        <is>
          <t>SÖDERMANLANDS LÄN</t>
        </is>
      </c>
      <c r="E47" t="inlineStr">
        <is>
          <t>GNESTA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HYPERLINK("https://klasma.github.io/Logging_0461/artfynd/A 62737-2023 artfynd.xlsx", "A 62737-2023")</f>
        <v/>
      </c>
      <c r="T47">
        <f>HYPERLINK("https://klasma.github.io/Logging_0461/kartor/A 62737-2023 karta.png", "A 62737-2023")</f>
        <v/>
      </c>
      <c r="V47">
        <f>HYPERLINK("https://klasma.github.io/Logging_0461/klagomål/A 62737-2023 FSC-klagomål.docx", "A 62737-2023")</f>
        <v/>
      </c>
      <c r="W47">
        <f>HYPERLINK("https://klasma.github.io/Logging_0461/klagomålsmail/A 62737-2023 FSC-klagomål mail.docx", "A 62737-2023")</f>
        <v/>
      </c>
      <c r="X47">
        <f>HYPERLINK("https://klasma.github.io/Logging_0461/tillsyn/A 62737-2023 tillsynsbegäran.docx", "A 62737-2023")</f>
        <v/>
      </c>
      <c r="Y47">
        <f>HYPERLINK("https://klasma.github.io/Logging_0461/tillsynsmail/A 62737-2023 tillsynsbegäran mail.docx", "A 62737-2023")</f>
        <v/>
      </c>
    </row>
    <row r="48" ht="15" customHeight="1">
      <c r="A48" t="inlineStr">
        <is>
          <t>A 1712-2024</t>
        </is>
      </c>
      <c r="B48" s="1" t="n">
        <v>45307</v>
      </c>
      <c r="C48" s="1" t="n">
        <v>45512</v>
      </c>
      <c r="D48" t="inlineStr">
        <is>
          <t>SÖDERMANLANDS LÄN</t>
        </is>
      </c>
      <c r="E48" t="inlineStr">
        <is>
          <t>GNESTA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HYPERLINK("https://klasma.github.io/Logging_0461/artfynd/A 1712-2024 artfynd.xlsx", "A 1712-2024")</f>
        <v/>
      </c>
      <c r="T48">
        <f>HYPERLINK("https://klasma.github.io/Logging_0461/kartor/A 1712-2024 karta.png", "A 1712-2024")</f>
        <v/>
      </c>
      <c r="V48">
        <f>HYPERLINK("https://klasma.github.io/Logging_0461/klagomål/A 1712-2024 FSC-klagomål.docx", "A 1712-2024")</f>
        <v/>
      </c>
      <c r="W48">
        <f>HYPERLINK("https://klasma.github.io/Logging_0461/klagomålsmail/A 1712-2024 FSC-klagomål mail.docx", "A 1712-2024")</f>
        <v/>
      </c>
      <c r="X48">
        <f>HYPERLINK("https://klasma.github.io/Logging_0461/tillsyn/A 1712-2024 tillsynsbegäran.docx", "A 1712-2024")</f>
        <v/>
      </c>
      <c r="Y48">
        <f>HYPERLINK("https://klasma.github.io/Logging_0461/tillsynsmail/A 1712-2024 tillsynsbegäran mail.docx", "A 1712-2024")</f>
        <v/>
      </c>
    </row>
    <row r="49" ht="15" customHeight="1">
      <c r="A49" t="inlineStr">
        <is>
          <t>A 6539-2024</t>
        </is>
      </c>
      <c r="B49" s="1" t="n">
        <v>45341</v>
      </c>
      <c r="C49" s="1" t="n">
        <v>45512</v>
      </c>
      <c r="D49" t="inlineStr">
        <is>
          <t>SÖDERMANLANDS LÄN</t>
        </is>
      </c>
      <c r="E49" t="inlineStr">
        <is>
          <t>GNESTA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HYPERLINK("https://klasma.github.io/Logging_0461/artfynd/A 6539-2024 artfynd.xlsx", "A 6539-2024")</f>
        <v/>
      </c>
      <c r="T49">
        <f>HYPERLINK("https://klasma.github.io/Logging_0461/kartor/A 6539-2024 karta.png", "A 6539-2024")</f>
        <v/>
      </c>
      <c r="V49">
        <f>HYPERLINK("https://klasma.github.io/Logging_0461/klagomål/A 6539-2024 FSC-klagomål.docx", "A 6539-2024")</f>
        <v/>
      </c>
      <c r="W49">
        <f>HYPERLINK("https://klasma.github.io/Logging_0461/klagomålsmail/A 6539-2024 FSC-klagomål mail.docx", "A 6539-2024")</f>
        <v/>
      </c>
      <c r="X49">
        <f>HYPERLINK("https://klasma.github.io/Logging_0461/tillsyn/A 6539-2024 tillsynsbegäran.docx", "A 6539-2024")</f>
        <v/>
      </c>
      <c r="Y49">
        <f>HYPERLINK("https://klasma.github.io/Logging_0461/tillsynsmail/A 6539-2024 tillsynsbegäran mail.docx", "A 6539-2024")</f>
        <v/>
      </c>
    </row>
    <row r="50" ht="15" customHeight="1">
      <c r="A50" t="inlineStr">
        <is>
          <t>A 25976-2024</t>
        </is>
      </c>
      <c r="B50" s="1" t="n">
        <v>45467</v>
      </c>
      <c r="C50" s="1" t="n">
        <v>45512</v>
      </c>
      <c r="D50" t="inlineStr">
        <is>
          <t>SÖDERMANLANDS LÄN</t>
        </is>
      </c>
      <c r="E50" t="inlineStr">
        <is>
          <t>GNESTA</t>
        </is>
      </c>
      <c r="G50" t="n">
        <v>5.6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HYPERLINK("https://klasma.github.io/Logging_0461/artfynd/A 25976-2024 artfynd.xlsx", "A 25976-2024")</f>
        <v/>
      </c>
      <c r="T50">
        <f>HYPERLINK("https://klasma.github.io/Logging_0461/kartor/A 25976-2024 karta.png", "A 25976-2024")</f>
        <v/>
      </c>
      <c r="V50">
        <f>HYPERLINK("https://klasma.github.io/Logging_0461/klagomål/A 25976-2024 FSC-klagomål.docx", "A 25976-2024")</f>
        <v/>
      </c>
      <c r="W50">
        <f>HYPERLINK("https://klasma.github.io/Logging_0461/klagomålsmail/A 25976-2024 FSC-klagomål mail.docx", "A 25976-2024")</f>
        <v/>
      </c>
      <c r="X50">
        <f>HYPERLINK("https://klasma.github.io/Logging_0461/tillsyn/A 25976-2024 tillsynsbegäran.docx", "A 25976-2024")</f>
        <v/>
      </c>
      <c r="Y50">
        <f>HYPERLINK("https://klasma.github.io/Logging_0461/tillsynsmail/A 25976-2024 tillsynsbegäran mail.docx", "A 25976-2024")</f>
        <v/>
      </c>
    </row>
    <row r="51" ht="15" customHeight="1">
      <c r="A51" t="inlineStr">
        <is>
          <t>A 29986-2024</t>
        </is>
      </c>
      <c r="B51" s="1" t="n">
        <v>45488</v>
      </c>
      <c r="C51" s="1" t="n">
        <v>45512</v>
      </c>
      <c r="D51" t="inlineStr">
        <is>
          <t>SÖDERMANLANDS LÄN</t>
        </is>
      </c>
      <c r="E51" t="inlineStr">
        <is>
          <t>GNESTA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HYPERLINK("https://klasma.github.io/Logging_0461/artfynd/A 29986-2024 artfynd.xlsx", "A 29986-2024")</f>
        <v/>
      </c>
      <c r="T51">
        <f>HYPERLINK("https://klasma.github.io/Logging_0461/kartor/A 29986-2024 karta.png", "A 29986-2024")</f>
        <v/>
      </c>
      <c r="U51">
        <f>HYPERLINK("https://klasma.github.io/Logging_0461/knärot/A 29986-2024 karta knärot.png", "A 29986-2024")</f>
        <v/>
      </c>
      <c r="V51">
        <f>HYPERLINK("https://klasma.github.io/Logging_0461/klagomål/A 29986-2024 FSC-klagomål.docx", "A 29986-2024")</f>
        <v/>
      </c>
      <c r="W51">
        <f>HYPERLINK("https://klasma.github.io/Logging_0461/klagomålsmail/A 29986-2024 FSC-klagomål mail.docx", "A 29986-2024")</f>
        <v/>
      </c>
      <c r="X51">
        <f>HYPERLINK("https://klasma.github.io/Logging_0461/tillsyn/A 29986-2024 tillsynsbegäran.docx", "A 29986-2024")</f>
        <v/>
      </c>
      <c r="Y51">
        <f>HYPERLINK("https://klasma.github.io/Logging_0461/tillsynsmail/A 29986-2024 tillsynsbegäran mail.docx", "A 29986-2024")</f>
        <v/>
      </c>
    </row>
    <row r="52" ht="15" customHeight="1">
      <c r="A52" t="inlineStr">
        <is>
          <t>A 18002-2019</t>
        </is>
      </c>
      <c r="B52" s="1" t="n">
        <v>43556</v>
      </c>
      <c r="C52" s="1" t="n">
        <v>45512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18639-2019</t>
        </is>
      </c>
      <c r="B53" s="1" t="n">
        <v>43559</v>
      </c>
      <c r="C53" s="1" t="n">
        <v>45512</v>
      </c>
      <c r="D53" t="inlineStr">
        <is>
          <t>SÖDERMANLANDS LÄN</t>
        </is>
      </c>
      <c r="E53" t="inlineStr">
        <is>
          <t>GNESTA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18892-2019</t>
        </is>
      </c>
      <c r="B54" s="1" t="n">
        <v>43563</v>
      </c>
      <c r="C54" s="1" t="n">
        <v>45512</v>
      </c>
      <c r="D54" t="inlineStr">
        <is>
          <t>SÖDERMANLANDS LÄN</t>
        </is>
      </c>
      <c r="E54" t="inlineStr">
        <is>
          <t>GNESTA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19166-2019</t>
        </is>
      </c>
      <c r="B55" s="1" t="n">
        <v>43564</v>
      </c>
      <c r="C55" s="1" t="n">
        <v>45512</v>
      </c>
      <c r="D55" t="inlineStr">
        <is>
          <t>SÖDERMANLANDS LÄN</t>
        </is>
      </c>
      <c r="E55" t="inlineStr">
        <is>
          <t>GNESTA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19804-2019</t>
        </is>
      </c>
      <c r="B56" s="1" t="n">
        <v>43566</v>
      </c>
      <c r="C56" s="1" t="n">
        <v>45512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20529-2019</t>
        </is>
      </c>
      <c r="B57" s="1" t="n">
        <v>43572</v>
      </c>
      <c r="C57" s="1" t="n">
        <v>45512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21691-2019</t>
        </is>
      </c>
      <c r="B58" s="1" t="n">
        <v>43581</v>
      </c>
      <c r="C58" s="1" t="n">
        <v>45512</v>
      </c>
      <c r="D58" t="inlineStr">
        <is>
          <t>SÖDERMANLANDS LÄN</t>
        </is>
      </c>
      <c r="E58" t="inlineStr">
        <is>
          <t>GNESTA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22100-2019</t>
        </is>
      </c>
      <c r="B59" s="1" t="n">
        <v>43584</v>
      </c>
      <c r="C59" s="1" t="n">
        <v>45512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22101-2019</t>
        </is>
      </c>
      <c r="B60" s="1" t="n">
        <v>43584</v>
      </c>
      <c r="C60" s="1" t="n">
        <v>45512</v>
      </c>
      <c r="D60" t="inlineStr">
        <is>
          <t>SÖDERMANLANDS LÄN</t>
        </is>
      </c>
      <c r="E60" t="inlineStr">
        <is>
          <t>GNESTA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23506-2019</t>
        </is>
      </c>
      <c r="B61" s="1" t="n">
        <v>43593</v>
      </c>
      <c r="C61" s="1" t="n">
        <v>45512</v>
      </c>
      <c r="D61" t="inlineStr">
        <is>
          <t>SÖDERMANLANDS LÄN</t>
        </is>
      </c>
      <c r="E61" t="inlineStr">
        <is>
          <t>GNESTA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25294-2019</t>
        </is>
      </c>
      <c r="B62" s="1" t="n">
        <v>43605</v>
      </c>
      <c r="C62" s="1" t="n">
        <v>45512</v>
      </c>
      <c r="D62" t="inlineStr">
        <is>
          <t>SÖDERMANLANDS LÄN</t>
        </is>
      </c>
      <c r="E62" t="inlineStr">
        <is>
          <t>GNESTA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35061-2019</t>
        </is>
      </c>
      <c r="B63" s="1" t="n">
        <v>43661</v>
      </c>
      <c r="C63" s="1" t="n">
        <v>45512</v>
      </c>
      <c r="D63" t="inlineStr">
        <is>
          <t>SÖDERMANLANDS LÄN</t>
        </is>
      </c>
      <c r="E63" t="inlineStr">
        <is>
          <t>GNESTA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37715-2019</t>
        </is>
      </c>
      <c r="B64" s="1" t="n">
        <v>43682</v>
      </c>
      <c r="C64" s="1" t="n">
        <v>45512</v>
      </c>
      <c r="D64" t="inlineStr">
        <is>
          <t>SÖDERMANLANDS LÄN</t>
        </is>
      </c>
      <c r="E64" t="inlineStr">
        <is>
          <t>GNESTA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37712-2019</t>
        </is>
      </c>
      <c r="B65" s="1" t="n">
        <v>43682</v>
      </c>
      <c r="C65" s="1" t="n">
        <v>45512</v>
      </c>
      <c r="D65" t="inlineStr">
        <is>
          <t>SÖDERMANLANDS LÄN</t>
        </is>
      </c>
      <c r="E65" t="inlineStr">
        <is>
          <t>GNESTA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38812-2019</t>
        </is>
      </c>
      <c r="B66" s="1" t="n">
        <v>43689</v>
      </c>
      <c r="C66" s="1" t="n">
        <v>45512</v>
      </c>
      <c r="D66" t="inlineStr">
        <is>
          <t>SÖDERMANLANDS LÄN</t>
        </is>
      </c>
      <c r="E66" t="inlineStr">
        <is>
          <t>GNESTA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38977-2019</t>
        </is>
      </c>
      <c r="B67" s="1" t="n">
        <v>43689</v>
      </c>
      <c r="C67" s="1" t="n">
        <v>45512</v>
      </c>
      <c r="D67" t="inlineStr">
        <is>
          <t>SÖDERMANLANDS LÄN</t>
        </is>
      </c>
      <c r="E67" t="inlineStr">
        <is>
          <t>GNESTA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39982-2019</t>
        </is>
      </c>
      <c r="B68" s="1" t="n">
        <v>43692</v>
      </c>
      <c r="C68" s="1" t="n">
        <v>45512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40781-2019</t>
        </is>
      </c>
      <c r="B69" s="1" t="n">
        <v>43697</v>
      </c>
      <c r="C69" s="1" t="n">
        <v>45512</v>
      </c>
      <c r="D69" t="inlineStr">
        <is>
          <t>SÖDERMANLANDS LÄN</t>
        </is>
      </c>
      <c r="E69" t="inlineStr">
        <is>
          <t>GNESTA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42946-2019</t>
        </is>
      </c>
      <c r="B70" s="1" t="n">
        <v>43705</v>
      </c>
      <c r="C70" s="1" t="n">
        <v>45512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44504-2019</t>
        </is>
      </c>
      <c r="B71" s="1" t="n">
        <v>43711</v>
      </c>
      <c r="C71" s="1" t="n">
        <v>45512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46634-2019</t>
        </is>
      </c>
      <c r="B72" s="1" t="n">
        <v>43717</v>
      </c>
      <c r="C72" s="1" t="n">
        <v>45512</v>
      </c>
      <c r="D72" t="inlineStr">
        <is>
          <t>SÖDERMANLANDS LÄN</t>
        </is>
      </c>
      <c r="E72" t="inlineStr">
        <is>
          <t>GNESTA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47115-2019</t>
        </is>
      </c>
      <c r="B73" s="1" t="n">
        <v>43720</v>
      </c>
      <c r="C73" s="1" t="n">
        <v>45512</v>
      </c>
      <c r="D73" t="inlineStr">
        <is>
          <t>SÖDERMANLANDS LÄN</t>
        </is>
      </c>
      <c r="E73" t="inlineStr">
        <is>
          <t>GNESTA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47113-2019</t>
        </is>
      </c>
      <c r="B74" s="1" t="n">
        <v>43720</v>
      </c>
      <c r="C74" s="1" t="n">
        <v>45512</v>
      </c>
      <c r="D74" t="inlineStr">
        <is>
          <t>SÖDERMANLANDS LÄN</t>
        </is>
      </c>
      <c r="E74" t="inlineStr">
        <is>
          <t>GNESTA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47196-2019</t>
        </is>
      </c>
      <c r="B75" s="1" t="n">
        <v>43721</v>
      </c>
      <c r="C75" s="1" t="n">
        <v>45512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47682-2019</t>
        </is>
      </c>
      <c r="B76" s="1" t="n">
        <v>43724</v>
      </c>
      <c r="C76" s="1" t="n">
        <v>45512</v>
      </c>
      <c r="D76" t="inlineStr">
        <is>
          <t>SÖDERMANLANDS LÄN</t>
        </is>
      </c>
      <c r="E76" t="inlineStr">
        <is>
          <t>GNESTA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47770-2019</t>
        </is>
      </c>
      <c r="B77" s="1" t="n">
        <v>43724</v>
      </c>
      <c r="C77" s="1" t="n">
        <v>45512</v>
      </c>
      <c r="D77" t="inlineStr">
        <is>
          <t>SÖDERMANLANDS LÄN</t>
        </is>
      </c>
      <c r="E77" t="inlineStr">
        <is>
          <t>GNESTA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48829-2019</t>
        </is>
      </c>
      <c r="B78" s="1" t="n">
        <v>43728</v>
      </c>
      <c r="C78" s="1" t="n">
        <v>45512</v>
      </c>
      <c r="D78" t="inlineStr">
        <is>
          <t>SÖDERMANLANDS LÄN</t>
        </is>
      </c>
      <c r="E78" t="inlineStr">
        <is>
          <t>GNESTA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48827-2019</t>
        </is>
      </c>
      <c r="B79" s="1" t="n">
        <v>43728</v>
      </c>
      <c r="C79" s="1" t="n">
        <v>45512</v>
      </c>
      <c r="D79" t="inlineStr">
        <is>
          <t>SÖDERMANLANDS LÄN</t>
        </is>
      </c>
      <c r="E79" t="inlineStr">
        <is>
          <t>GNESTA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50018-2019</t>
        </is>
      </c>
      <c r="B80" s="1" t="n">
        <v>43734</v>
      </c>
      <c r="C80" s="1" t="n">
        <v>45512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53933-2019</t>
        </is>
      </c>
      <c r="B81" s="1" t="n">
        <v>43752</v>
      </c>
      <c r="C81" s="1" t="n">
        <v>45512</v>
      </c>
      <c r="D81" t="inlineStr">
        <is>
          <t>SÖDERMANLANDS LÄN</t>
        </is>
      </c>
      <c r="E81" t="inlineStr">
        <is>
          <t>GNESTA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53945-2019</t>
        </is>
      </c>
      <c r="B82" s="1" t="n">
        <v>43752</v>
      </c>
      <c r="C82" s="1" t="n">
        <v>45512</v>
      </c>
      <c r="D82" t="inlineStr">
        <is>
          <t>SÖDERMANLANDS LÄN</t>
        </is>
      </c>
      <c r="E82" t="inlineStr">
        <is>
          <t>GNESTA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57725-2019</t>
        </is>
      </c>
      <c r="B83" s="1" t="n">
        <v>43768</v>
      </c>
      <c r="C83" s="1" t="n">
        <v>45512</v>
      </c>
      <c r="D83" t="inlineStr">
        <is>
          <t>SÖDERMANLANDS LÄN</t>
        </is>
      </c>
      <c r="E83" t="inlineStr">
        <is>
          <t>GNESTA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59224-2019</t>
        </is>
      </c>
      <c r="B84" s="1" t="n">
        <v>43775</v>
      </c>
      <c r="C84" s="1" t="n">
        <v>45512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62954-2019</t>
        </is>
      </c>
      <c r="B85" s="1" t="n">
        <v>43784</v>
      </c>
      <c r="C85" s="1" t="n">
        <v>45512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62962-2019</t>
        </is>
      </c>
      <c r="B86" s="1" t="n">
        <v>43790</v>
      </c>
      <c r="C86" s="1" t="n">
        <v>45512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65575-2019</t>
        </is>
      </c>
      <c r="B87" s="1" t="n">
        <v>43803</v>
      </c>
      <c r="C87" s="1" t="n">
        <v>45512</v>
      </c>
      <c r="D87" t="inlineStr">
        <is>
          <t>SÖDERMANLANDS LÄN</t>
        </is>
      </c>
      <c r="E87" t="inlineStr">
        <is>
          <t>GNESTA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1283-2020</t>
        </is>
      </c>
      <c r="B88" s="1" t="n">
        <v>43842</v>
      </c>
      <c r="C88" s="1" t="n">
        <v>45512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7131-2020</t>
        </is>
      </c>
      <c r="B89" s="1" t="n">
        <v>43868</v>
      </c>
      <c r="C89" s="1" t="n">
        <v>45512</v>
      </c>
      <c r="D89" t="inlineStr">
        <is>
          <t>SÖDERMANLANDS LÄN</t>
        </is>
      </c>
      <c r="E89" t="inlineStr">
        <is>
          <t>GNESTA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9224-2020</t>
        </is>
      </c>
      <c r="B90" s="1" t="n">
        <v>43879</v>
      </c>
      <c r="C90" s="1" t="n">
        <v>45512</v>
      </c>
      <c r="D90" t="inlineStr">
        <is>
          <t>SÖDERMANLANDS LÄN</t>
        </is>
      </c>
      <c r="E90" t="inlineStr">
        <is>
          <t>GNESTA</t>
        </is>
      </c>
      <c r="F90" t="inlineStr">
        <is>
          <t>Övriga Aktiebolag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12517-2020</t>
        </is>
      </c>
      <c r="B91" s="1" t="n">
        <v>43896</v>
      </c>
      <c r="C91" s="1" t="n">
        <v>45512</v>
      </c>
      <c r="D91" t="inlineStr">
        <is>
          <t>SÖDERMANLANDS LÄN</t>
        </is>
      </c>
      <c r="E91" t="inlineStr">
        <is>
          <t>GNESTA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13717-2020</t>
        </is>
      </c>
      <c r="B92" s="1" t="n">
        <v>43896</v>
      </c>
      <c r="C92" s="1" t="n">
        <v>45512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13837-2020</t>
        </is>
      </c>
      <c r="B93" s="1" t="n">
        <v>43896</v>
      </c>
      <c r="C93" s="1" t="n">
        <v>45512</v>
      </c>
      <c r="D93" t="inlineStr">
        <is>
          <t>SÖDERMANLANDS LÄN</t>
        </is>
      </c>
      <c r="E93" t="inlineStr">
        <is>
          <t>GNESTA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13834-2020</t>
        </is>
      </c>
      <c r="B94" s="1" t="n">
        <v>43896</v>
      </c>
      <c r="C94" s="1" t="n">
        <v>45512</v>
      </c>
      <c r="D94" t="inlineStr">
        <is>
          <t>SÖDERMANLANDS LÄN</t>
        </is>
      </c>
      <c r="E94" t="inlineStr">
        <is>
          <t>GNESTA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12817-2020</t>
        </is>
      </c>
      <c r="B95" s="1" t="n">
        <v>43899</v>
      </c>
      <c r="C95" s="1" t="n">
        <v>45512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12861-2020</t>
        </is>
      </c>
      <c r="B96" s="1" t="n">
        <v>43899</v>
      </c>
      <c r="C96" s="1" t="n">
        <v>45512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13355-2020</t>
        </is>
      </c>
      <c r="B97" s="1" t="n">
        <v>43902</v>
      </c>
      <c r="C97" s="1" t="n">
        <v>45512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13351-2020</t>
        </is>
      </c>
      <c r="B98" s="1" t="n">
        <v>43902</v>
      </c>
      <c r="C98" s="1" t="n">
        <v>45512</v>
      </c>
      <c r="D98" t="inlineStr">
        <is>
          <t>SÖDERMANLANDS LÄN</t>
        </is>
      </c>
      <c r="E98" t="inlineStr">
        <is>
          <t>GNESTA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16499-2020</t>
        </is>
      </c>
      <c r="B99" s="1" t="n">
        <v>43910</v>
      </c>
      <c r="C99" s="1" t="n">
        <v>45512</v>
      </c>
      <c r="D99" t="inlineStr">
        <is>
          <t>SÖDERMANLANDS LÄN</t>
        </is>
      </c>
      <c r="E99" t="inlineStr">
        <is>
          <t>GNESTA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16438-2020</t>
        </is>
      </c>
      <c r="B100" s="1" t="n">
        <v>43919</v>
      </c>
      <c r="C100" s="1" t="n">
        <v>45512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18352-2020</t>
        </is>
      </c>
      <c r="B101" s="1" t="n">
        <v>43927</v>
      </c>
      <c r="C101" s="1" t="n">
        <v>45512</v>
      </c>
      <c r="D101" t="inlineStr">
        <is>
          <t>SÖDERMANLANDS LÄN</t>
        </is>
      </c>
      <c r="E101" t="inlineStr">
        <is>
          <t>GNESTA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20400-2020</t>
        </is>
      </c>
      <c r="B102" s="1" t="n">
        <v>43945</v>
      </c>
      <c r="C102" s="1" t="n">
        <v>45512</v>
      </c>
      <c r="D102" t="inlineStr">
        <is>
          <t>SÖDERMANLANDS LÄN</t>
        </is>
      </c>
      <c r="E102" t="inlineStr">
        <is>
          <t>GNESTA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24116-2020</t>
        </is>
      </c>
      <c r="B103" s="1" t="n">
        <v>43973</v>
      </c>
      <c r="C103" s="1" t="n">
        <v>45512</v>
      </c>
      <c r="D103" t="inlineStr">
        <is>
          <t>SÖDERMANLANDS LÄN</t>
        </is>
      </c>
      <c r="E103" t="inlineStr">
        <is>
          <t>GNESTA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24604-2020</t>
        </is>
      </c>
      <c r="B104" s="1" t="n">
        <v>43977</v>
      </c>
      <c r="C104" s="1" t="n">
        <v>45512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24605-2020</t>
        </is>
      </c>
      <c r="B105" s="1" t="n">
        <v>43977</v>
      </c>
      <c r="C105" s="1" t="n">
        <v>45512</v>
      </c>
      <c r="D105" t="inlineStr">
        <is>
          <t>SÖDERMANLANDS LÄN</t>
        </is>
      </c>
      <c r="E105" t="inlineStr">
        <is>
          <t>GNESTA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25945-2020</t>
        </is>
      </c>
      <c r="B106" s="1" t="n">
        <v>43985</v>
      </c>
      <c r="C106" s="1" t="n">
        <v>45512</v>
      </c>
      <c r="D106" t="inlineStr">
        <is>
          <t>SÖDERMANLANDS LÄN</t>
        </is>
      </c>
      <c r="E106" t="inlineStr">
        <is>
          <t>GNESTA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28154-2020</t>
        </is>
      </c>
      <c r="B107" s="1" t="n">
        <v>43997</v>
      </c>
      <c r="C107" s="1" t="n">
        <v>45512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29601-2020</t>
        </is>
      </c>
      <c r="B108" s="1" t="n">
        <v>44005</v>
      </c>
      <c r="C108" s="1" t="n">
        <v>45512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29847-2020</t>
        </is>
      </c>
      <c r="B109" s="1" t="n">
        <v>44006</v>
      </c>
      <c r="C109" s="1" t="n">
        <v>45512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34536-2020</t>
        </is>
      </c>
      <c r="B110" s="1" t="n">
        <v>44032</v>
      </c>
      <c r="C110" s="1" t="n">
        <v>45512</v>
      </c>
      <c r="D110" t="inlineStr">
        <is>
          <t>SÖDERMANLANDS LÄN</t>
        </is>
      </c>
      <c r="E110" t="inlineStr">
        <is>
          <t>GNESTA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34676-2020</t>
        </is>
      </c>
      <c r="B111" s="1" t="n">
        <v>44035</v>
      </c>
      <c r="C111" s="1" t="n">
        <v>45512</v>
      </c>
      <c r="D111" t="inlineStr">
        <is>
          <t>SÖDERMANLANDS LÄN</t>
        </is>
      </c>
      <c r="E111" t="inlineStr">
        <is>
          <t>GNESTA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38244-2020</t>
        </is>
      </c>
      <c r="B112" s="1" t="n">
        <v>44060</v>
      </c>
      <c r="C112" s="1" t="n">
        <v>45512</v>
      </c>
      <c r="D112" t="inlineStr">
        <is>
          <t>SÖDERMANLANDS LÄN</t>
        </is>
      </c>
      <c r="E112" t="inlineStr">
        <is>
          <t>GNESTA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38778-2020</t>
        </is>
      </c>
      <c r="B113" s="1" t="n">
        <v>44061</v>
      </c>
      <c r="C113" s="1" t="n">
        <v>45512</v>
      </c>
      <c r="D113" t="inlineStr">
        <is>
          <t>SÖDERMANLANDS LÄN</t>
        </is>
      </c>
      <c r="E113" t="inlineStr">
        <is>
          <t>GNESTA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40352-2020</t>
        </is>
      </c>
      <c r="B114" s="1" t="n">
        <v>44068</v>
      </c>
      <c r="C114" s="1" t="n">
        <v>45512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44528-2020</t>
        </is>
      </c>
      <c r="B115" s="1" t="n">
        <v>44084</v>
      </c>
      <c r="C115" s="1" t="n">
        <v>45512</v>
      </c>
      <c r="D115" t="inlineStr">
        <is>
          <t>SÖDERMANLANDS LÄN</t>
        </is>
      </c>
      <c r="E115" t="inlineStr">
        <is>
          <t>GNESTA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44808-2020</t>
        </is>
      </c>
      <c r="B116" s="1" t="n">
        <v>44085</v>
      </c>
      <c r="C116" s="1" t="n">
        <v>45512</v>
      </c>
      <c r="D116" t="inlineStr">
        <is>
          <t>SÖDERMANLANDS LÄN</t>
        </is>
      </c>
      <c r="E116" t="inlineStr">
        <is>
          <t>GNESTA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44803-2020</t>
        </is>
      </c>
      <c r="B117" s="1" t="n">
        <v>44085</v>
      </c>
      <c r="C117" s="1" t="n">
        <v>45512</v>
      </c>
      <c r="D117" t="inlineStr">
        <is>
          <t>SÖDERMANLANDS LÄN</t>
        </is>
      </c>
      <c r="E117" t="inlineStr">
        <is>
          <t>GNESTA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47188-2020</t>
        </is>
      </c>
      <c r="B118" s="1" t="n">
        <v>44091</v>
      </c>
      <c r="C118" s="1" t="n">
        <v>45512</v>
      </c>
      <c r="D118" t="inlineStr">
        <is>
          <t>SÖDERMANLANDS LÄN</t>
        </is>
      </c>
      <c r="E118" t="inlineStr">
        <is>
          <t>GNESTA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46471-2020</t>
        </is>
      </c>
      <c r="B119" s="1" t="n">
        <v>44092</v>
      </c>
      <c r="C119" s="1" t="n">
        <v>45512</v>
      </c>
      <c r="D119" t="inlineStr">
        <is>
          <t>SÖDERMANLANDS LÄN</t>
        </is>
      </c>
      <c r="E119" t="inlineStr">
        <is>
          <t>GNESTA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46839-2020</t>
        </is>
      </c>
      <c r="B120" s="1" t="n">
        <v>44095</v>
      </c>
      <c r="C120" s="1" t="n">
        <v>45512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47085-2020</t>
        </is>
      </c>
      <c r="B121" s="1" t="n">
        <v>44096</v>
      </c>
      <c r="C121" s="1" t="n">
        <v>45512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47095-2020</t>
        </is>
      </c>
      <c r="B122" s="1" t="n">
        <v>44096</v>
      </c>
      <c r="C122" s="1" t="n">
        <v>45512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48323-2020</t>
        </is>
      </c>
      <c r="B123" s="1" t="n">
        <v>44097</v>
      </c>
      <c r="C123" s="1" t="n">
        <v>45512</v>
      </c>
      <c r="D123" t="inlineStr">
        <is>
          <t>SÖDERMANLANDS LÄN</t>
        </is>
      </c>
      <c r="E123" t="inlineStr">
        <is>
          <t>GNESTA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48642-2020</t>
        </is>
      </c>
      <c r="B124" s="1" t="n">
        <v>44103</v>
      </c>
      <c r="C124" s="1" t="n">
        <v>45512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49258-2020</t>
        </is>
      </c>
      <c r="B125" s="1" t="n">
        <v>44105</v>
      </c>
      <c r="C125" s="1" t="n">
        <v>45512</v>
      </c>
      <c r="D125" t="inlineStr">
        <is>
          <t>SÖDERMANLANDS LÄN</t>
        </is>
      </c>
      <c r="E125" t="inlineStr">
        <is>
          <t>GNESTA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51658-2020</t>
        </is>
      </c>
      <c r="B126" s="1" t="n">
        <v>44109</v>
      </c>
      <c r="C126" s="1" t="n">
        <v>45512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49933-2020</t>
        </is>
      </c>
      <c r="B127" s="1" t="n">
        <v>44109</v>
      </c>
      <c r="C127" s="1" t="n">
        <v>45512</v>
      </c>
      <c r="D127" t="inlineStr">
        <is>
          <t>SÖDERMANLANDS LÄN</t>
        </is>
      </c>
      <c r="E127" t="inlineStr">
        <is>
          <t>GNESTA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52834-2020</t>
        </is>
      </c>
      <c r="B128" s="1" t="n">
        <v>44119</v>
      </c>
      <c r="C128" s="1" t="n">
        <v>45512</v>
      </c>
      <c r="D128" t="inlineStr">
        <is>
          <t>SÖDERMANLANDS LÄN</t>
        </is>
      </c>
      <c r="E128" t="inlineStr">
        <is>
          <t>GNESTA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52840-2020</t>
        </is>
      </c>
      <c r="B129" s="1" t="n">
        <v>44119</v>
      </c>
      <c r="C129" s="1" t="n">
        <v>45512</v>
      </c>
      <c r="D129" t="inlineStr">
        <is>
          <t>SÖDERMANLANDS LÄN</t>
        </is>
      </c>
      <c r="E129" t="inlineStr">
        <is>
          <t>GNESTA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56390-2020</t>
        </is>
      </c>
      <c r="B130" s="1" t="n">
        <v>44136</v>
      </c>
      <c r="C130" s="1" t="n">
        <v>45512</v>
      </c>
      <c r="D130" t="inlineStr">
        <is>
          <t>SÖDERMANLANDS LÄN</t>
        </is>
      </c>
      <c r="E130" t="inlineStr">
        <is>
          <t>GNESTA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57118-2020</t>
        </is>
      </c>
      <c r="B131" s="1" t="n">
        <v>44139</v>
      </c>
      <c r="C131" s="1" t="n">
        <v>45512</v>
      </c>
      <c r="D131" t="inlineStr">
        <is>
          <t>SÖDERMANLANDS LÄN</t>
        </is>
      </c>
      <c r="E131" t="inlineStr">
        <is>
          <t>GNESTA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59117-2020</t>
        </is>
      </c>
      <c r="B132" s="1" t="n">
        <v>44147</v>
      </c>
      <c r="C132" s="1" t="n">
        <v>45512</v>
      </c>
      <c r="D132" t="inlineStr">
        <is>
          <t>SÖDERMANLANDS LÄN</t>
        </is>
      </c>
      <c r="E132" t="inlineStr">
        <is>
          <t>GNESTA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62142-2020</t>
        </is>
      </c>
      <c r="B133" s="1" t="n">
        <v>44159</v>
      </c>
      <c r="C133" s="1" t="n">
        <v>45512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62372-2020</t>
        </is>
      </c>
      <c r="B134" s="1" t="n">
        <v>44160</v>
      </c>
      <c r="C134" s="1" t="n">
        <v>45512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66353-2020</t>
        </is>
      </c>
      <c r="B135" s="1" t="n">
        <v>44176</v>
      </c>
      <c r="C135" s="1" t="n">
        <v>45512</v>
      </c>
      <c r="D135" t="inlineStr">
        <is>
          <t>SÖDERMANLANDS LÄN</t>
        </is>
      </c>
      <c r="E135" t="inlineStr">
        <is>
          <t>GNESTA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67856-2020</t>
        </is>
      </c>
      <c r="B136" s="1" t="n">
        <v>44182</v>
      </c>
      <c r="C136" s="1" t="n">
        <v>45512</v>
      </c>
      <c r="D136" t="inlineStr">
        <is>
          <t>SÖDERMANLANDS LÄN</t>
        </is>
      </c>
      <c r="E136" t="inlineStr">
        <is>
          <t>GNESTA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68698-2020</t>
        </is>
      </c>
      <c r="B137" s="1" t="n">
        <v>44187</v>
      </c>
      <c r="C137" s="1" t="n">
        <v>45512</v>
      </c>
      <c r="D137" t="inlineStr">
        <is>
          <t>SÖDERMANLANDS LÄN</t>
        </is>
      </c>
      <c r="E137" t="inlineStr">
        <is>
          <t>GNESTA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162-2021</t>
        </is>
      </c>
      <c r="B138" s="1" t="n">
        <v>44200</v>
      </c>
      <c r="C138" s="1" t="n">
        <v>45512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1038-2021</t>
        </is>
      </c>
      <c r="B139" s="1" t="n">
        <v>44207</v>
      </c>
      <c r="C139" s="1" t="n">
        <v>45512</v>
      </c>
      <c r="D139" t="inlineStr">
        <is>
          <t>SÖDERMANLANDS LÄN</t>
        </is>
      </c>
      <c r="E139" t="inlineStr">
        <is>
          <t>GNESTA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4447-2021</t>
        </is>
      </c>
      <c r="B140" s="1" t="n">
        <v>44224</v>
      </c>
      <c r="C140" s="1" t="n">
        <v>45512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6415-2021</t>
        </is>
      </c>
      <c r="B141" s="1" t="n">
        <v>44235</v>
      </c>
      <c r="C141" s="1" t="n">
        <v>45512</v>
      </c>
      <c r="D141" t="inlineStr">
        <is>
          <t>SÖDERMANLANDS LÄN</t>
        </is>
      </c>
      <c r="E141" t="inlineStr">
        <is>
          <t>GNESTA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7386-2021</t>
        </is>
      </c>
      <c r="B142" s="1" t="n">
        <v>44239</v>
      </c>
      <c r="C142" s="1" t="n">
        <v>45512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7385-2021</t>
        </is>
      </c>
      <c r="B143" s="1" t="n">
        <v>44239</v>
      </c>
      <c r="C143" s="1" t="n">
        <v>45512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8443-2021</t>
        </is>
      </c>
      <c r="B144" s="1" t="n">
        <v>44245</v>
      </c>
      <c r="C144" s="1" t="n">
        <v>45512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8457-2021</t>
        </is>
      </c>
      <c r="B145" s="1" t="n">
        <v>44245</v>
      </c>
      <c r="C145" s="1" t="n">
        <v>45512</v>
      </c>
      <c r="D145" t="inlineStr">
        <is>
          <t>SÖDERMANLANDS LÄN</t>
        </is>
      </c>
      <c r="E145" t="inlineStr">
        <is>
          <t>GNESTA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8992-2021</t>
        </is>
      </c>
      <c r="B146" s="1" t="n">
        <v>44246</v>
      </c>
      <c r="C146" s="1" t="n">
        <v>45512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9038-2021</t>
        </is>
      </c>
      <c r="B147" s="1" t="n">
        <v>44246</v>
      </c>
      <c r="C147" s="1" t="n">
        <v>45512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9047-2021</t>
        </is>
      </c>
      <c r="B148" s="1" t="n">
        <v>44246</v>
      </c>
      <c r="C148" s="1" t="n">
        <v>45512</v>
      </c>
      <c r="D148" t="inlineStr">
        <is>
          <t>SÖDERMANLANDS LÄN</t>
        </is>
      </c>
      <c r="E148" t="inlineStr">
        <is>
          <t>GNESTA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9575-2021</t>
        </is>
      </c>
      <c r="B149" s="1" t="n">
        <v>44251</v>
      </c>
      <c r="C149" s="1" t="n">
        <v>45512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11152-2021</t>
        </is>
      </c>
      <c r="B150" s="1" t="n">
        <v>44261</v>
      </c>
      <c r="C150" s="1" t="n">
        <v>45512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11703-2021</t>
        </is>
      </c>
      <c r="B151" s="1" t="n">
        <v>44264</v>
      </c>
      <c r="C151" s="1" t="n">
        <v>45512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11760-2021</t>
        </is>
      </c>
      <c r="B152" s="1" t="n">
        <v>44265</v>
      </c>
      <c r="C152" s="1" t="n">
        <v>45512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11878-2021</t>
        </is>
      </c>
      <c r="B153" s="1" t="n">
        <v>44265</v>
      </c>
      <c r="C153" s="1" t="n">
        <v>45512</v>
      </c>
      <c r="D153" t="inlineStr">
        <is>
          <t>SÖDERMANLANDS LÄN</t>
        </is>
      </c>
      <c r="E153" t="inlineStr">
        <is>
          <t>GNESTA</t>
        </is>
      </c>
      <c r="F153" t="inlineStr">
        <is>
          <t>Kyrkan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14616-2021</t>
        </is>
      </c>
      <c r="B154" s="1" t="n">
        <v>44280</v>
      </c>
      <c r="C154" s="1" t="n">
        <v>45512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14614-2021</t>
        </is>
      </c>
      <c r="B155" s="1" t="n">
        <v>44280</v>
      </c>
      <c r="C155" s="1" t="n">
        <v>45512</v>
      </c>
      <c r="D155" t="inlineStr">
        <is>
          <t>SÖDERMANLANDS LÄN</t>
        </is>
      </c>
      <c r="E155" t="inlineStr">
        <is>
          <t>GNESTA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15531-2021</t>
        </is>
      </c>
      <c r="B156" s="1" t="n">
        <v>44285</v>
      </c>
      <c r="C156" s="1" t="n">
        <v>45512</v>
      </c>
      <c r="D156" t="inlineStr">
        <is>
          <t>SÖDERMANLANDS LÄN</t>
        </is>
      </c>
      <c r="E156" t="inlineStr">
        <is>
          <t>GNESTA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15603-2021</t>
        </is>
      </c>
      <c r="B157" s="1" t="n">
        <v>44285</v>
      </c>
      <c r="C157" s="1" t="n">
        <v>45512</v>
      </c>
      <c r="D157" t="inlineStr">
        <is>
          <t>SÖDERMANLANDS LÄN</t>
        </is>
      </c>
      <c r="E157" t="inlineStr">
        <is>
          <t>GNESTA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16257-2021</t>
        </is>
      </c>
      <c r="B158" s="1" t="n">
        <v>44287</v>
      </c>
      <c r="C158" s="1" t="n">
        <v>45512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16221-2021</t>
        </is>
      </c>
      <c r="B159" s="1" t="n">
        <v>44287</v>
      </c>
      <c r="C159" s="1" t="n">
        <v>45512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16287-2021</t>
        </is>
      </c>
      <c r="B160" s="1" t="n">
        <v>44292</v>
      </c>
      <c r="C160" s="1" t="n">
        <v>45512</v>
      </c>
      <c r="D160" t="inlineStr">
        <is>
          <t>SÖDERMANLANDS LÄN</t>
        </is>
      </c>
      <c r="E160" t="inlineStr">
        <is>
          <t>GNESTA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18695-2021</t>
        </is>
      </c>
      <c r="B161" s="1" t="n">
        <v>44307</v>
      </c>
      <c r="C161" s="1" t="n">
        <v>45512</v>
      </c>
      <c r="D161" t="inlineStr">
        <is>
          <t>SÖDERMANLANDS LÄN</t>
        </is>
      </c>
      <c r="E161" t="inlineStr">
        <is>
          <t>GNESTA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19613-2021</t>
        </is>
      </c>
      <c r="B162" s="1" t="n">
        <v>44312</v>
      </c>
      <c r="C162" s="1" t="n">
        <v>45512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19681-2021</t>
        </is>
      </c>
      <c r="B163" s="1" t="n">
        <v>44312</v>
      </c>
      <c r="C163" s="1" t="n">
        <v>45512</v>
      </c>
      <c r="D163" t="inlineStr">
        <is>
          <t>SÖDERMANLANDS LÄN</t>
        </is>
      </c>
      <c r="E163" t="inlineStr">
        <is>
          <t>GNESTA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21835-2021</t>
        </is>
      </c>
      <c r="B164" s="1" t="n">
        <v>44322</v>
      </c>
      <c r="C164" s="1" t="n">
        <v>45512</v>
      </c>
      <c r="D164" t="inlineStr">
        <is>
          <t>SÖDERMANLANDS LÄN</t>
        </is>
      </c>
      <c r="E164" t="inlineStr">
        <is>
          <t>GNESTA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21762-2021</t>
        </is>
      </c>
      <c r="B165" s="1" t="n">
        <v>44322</v>
      </c>
      <c r="C165" s="1" t="n">
        <v>45512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21764-2021</t>
        </is>
      </c>
      <c r="B166" s="1" t="n">
        <v>44322</v>
      </c>
      <c r="C166" s="1" t="n">
        <v>45512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22046-2021</t>
        </is>
      </c>
      <c r="B167" s="1" t="n">
        <v>44322</v>
      </c>
      <c r="C167" s="1" t="n">
        <v>45512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22044-2021</t>
        </is>
      </c>
      <c r="B168" s="1" t="n">
        <v>44322</v>
      </c>
      <c r="C168" s="1" t="n">
        <v>45512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45512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45512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45512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45512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45512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45512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45512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45512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45512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45512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45512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45512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45512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45512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45512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45512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45512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45512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45512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45512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45512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45512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45512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45512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45512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45512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45512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45512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45512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45512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45512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45512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45512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45512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45512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45512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45512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45512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45512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45512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45512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45512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45512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45512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45512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45512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45512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45512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45512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45512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45512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45512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45512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45512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45512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45512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45512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45512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45512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45512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45512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45512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45512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45512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45512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45512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45512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45512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45512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45512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45512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45512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45512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45512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45512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45512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45512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45512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45512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45512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45512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45512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45512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45512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45512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45512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45512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45512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45512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45512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45512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45512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45512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45512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45512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45512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45512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45512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45512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45512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45512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45512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45512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45512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45512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45512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45512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45512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45512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45512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45512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45512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45512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45512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45512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45512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45512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45512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45512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45512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45512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45512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45512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45512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45512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45512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45512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45512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45512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45512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45512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45512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45512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45512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45512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45512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45512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45512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45512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45512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45512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45512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45512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45512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45512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45512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45512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45512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45512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45512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45512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45512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45512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45512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45512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45512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45512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45512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45512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45512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45512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45512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45512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45512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45512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45512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45512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45512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45512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45512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45512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45512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45512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45512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45512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45512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45512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45512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45512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45512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45512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45512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45512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45512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45512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45512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45512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45512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45512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45512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45512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45512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45512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45512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45512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45512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45512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45512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45512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45512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45512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45512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45512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45512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45512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45512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45512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45512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45512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45512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45512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45512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45512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45512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45512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45512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45512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45512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45512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45512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45512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45512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45512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45512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45512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45512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45512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45512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45512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45512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45512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45512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45512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45512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45512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45512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45512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45512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45512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45512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45512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45512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45512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45512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45512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45512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45512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45512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45512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45512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45512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45512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45512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45512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45512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45512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45512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45512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45512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45512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45512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45512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45512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45512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45512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45512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45512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45512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45512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45512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45512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45512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45512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45512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45512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45512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45512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45512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45512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45512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45512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45512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45512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45512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45512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45512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45512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45512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45512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45512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45512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45512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45512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45512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45512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45512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45512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45512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45512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45512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45512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45512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45512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45512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45512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45512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45512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45512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45512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45512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45512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45512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45512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45512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45512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45512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45512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45512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45512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45512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45512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45512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45512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45512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45512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45512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45512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45512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45512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45512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45512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45512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45512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45512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45512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45512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45512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45512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45512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45512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45512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45512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45512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45512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45512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45512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45512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45512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45512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45512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45512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45512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45512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45512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45512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45512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45512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45512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45512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45512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45512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45512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45512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45512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45512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45512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45512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45512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45512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45512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45512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45512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45512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45512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30627-2024</t>
        </is>
      </c>
      <c r="B543" s="1" t="n">
        <v>45495</v>
      </c>
      <c r="C543" s="1" t="n">
        <v>45512</v>
      </c>
      <c r="D543" t="inlineStr">
        <is>
          <t>SÖDERMANLANDS LÄN</t>
        </is>
      </c>
      <c r="E543" t="inlineStr">
        <is>
          <t>GNESTA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30638-2024</t>
        </is>
      </c>
      <c r="B544" s="1" t="n">
        <v>45495</v>
      </c>
      <c r="C544" s="1" t="n">
        <v>45512</v>
      </c>
      <c r="D544" t="inlineStr">
        <is>
          <t>SÖDERMANLANDS LÄN</t>
        </is>
      </c>
      <c r="E544" t="inlineStr">
        <is>
          <t>GNESTA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30628-2024</t>
        </is>
      </c>
      <c r="B545" s="1" t="n">
        <v>45495</v>
      </c>
      <c r="C545" s="1" t="n">
        <v>45512</v>
      </c>
      <c r="D545" t="inlineStr">
        <is>
          <t>SÖDERMANLANDS LÄN</t>
        </is>
      </c>
      <c r="E545" t="inlineStr">
        <is>
          <t>GNESTA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30804-2024</t>
        </is>
      </c>
      <c r="B546" s="1" t="n">
        <v>45497</v>
      </c>
      <c r="C546" s="1" t="n">
        <v>45512</v>
      </c>
      <c r="D546" t="inlineStr">
        <is>
          <t>SÖDERMANLANDS LÄN</t>
        </is>
      </c>
      <c r="E546" t="inlineStr">
        <is>
          <t>GNESTA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45512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45512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31294-2024</t>
        </is>
      </c>
      <c r="B549" s="1" t="n">
        <v>45504</v>
      </c>
      <c r="C549" s="1" t="n">
        <v>45512</v>
      </c>
      <c r="D549" t="inlineStr">
        <is>
          <t>SÖDERMANLANDS LÄN</t>
        </is>
      </c>
      <c r="E549" t="inlineStr">
        <is>
          <t>GNESTA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45512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2024-08-08T10:04:16Z</dcterms:created>
  <dcterms:modified xmlns:dcterms="http://purl.org/dc/terms/" xmlns:xsi="http://www.w3.org/2001/XMLSchema-instance" xsi:type="dcterms:W3CDTF">2024-08-08T10:04:16Z</dcterms:modified>
</cp:coreProperties>
</file>