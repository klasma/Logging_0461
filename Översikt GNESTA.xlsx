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45813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45813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45813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45813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26357-2025</t>
        </is>
      </c>
      <c r="B6" s="1" t="n">
        <v>45806</v>
      </c>
      <c r="C6" s="1" t="n">
        <v>45813</v>
      </c>
      <c r="D6" t="inlineStr">
        <is>
          <t>SÖDERMANLANDS LÄN</t>
        </is>
      </c>
      <c r="E6" t="inlineStr">
        <is>
          <t>GNESTA</t>
        </is>
      </c>
      <c r="G6" t="n">
        <v>57.5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Mindre hackspett
Tallticka
Vedtrappmossa
Björksplintborre
Brandticka
Grön sköldmossa
Vågbandad barkbock
Mattlummer
Revlummer</t>
        </is>
      </c>
      <c r="S6">
        <f>HYPERLINK("https://klasma.github.io/Logging_040461/artfynd/A 26357-2025 artfynd.xlsx", "A 26357-2025")</f>
        <v/>
      </c>
      <c r="T6">
        <f>HYPERLINK("https://klasma.github.io/Logging_040461/kartor/A 26357-2025 karta.png", "A 26357-2025")</f>
        <v/>
      </c>
      <c r="V6">
        <f>HYPERLINK("https://klasma.github.io/Logging_040461/klagomål/A 26357-2025 FSC-klagomål.docx", "A 26357-2025")</f>
        <v/>
      </c>
      <c r="W6">
        <f>HYPERLINK("https://klasma.github.io/Logging_040461/klagomålsmail/A 26357-2025 FSC-klagomål mail.docx", "A 26357-2025")</f>
        <v/>
      </c>
      <c r="X6">
        <f>HYPERLINK("https://klasma.github.io/Logging_040461/tillsyn/A 26357-2025 tillsynsbegäran.docx", "A 26357-2025")</f>
        <v/>
      </c>
      <c r="Y6">
        <f>HYPERLINK("https://klasma.github.io/Logging_040461/tillsynsmail/A 26357-2025 tillsynsbegäran mail.docx", "A 26357-2025")</f>
        <v/>
      </c>
      <c r="Z6">
        <f>HYPERLINK("https://klasma.github.io/Logging_040461/fåglar/A 26357-2025 prioriterade fågelarter.docx", "A 26357-2025")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45813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45813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45813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45813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45813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45813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45813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45813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45813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45813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45813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45813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45813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45813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45813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45813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45813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45813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45813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45813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45813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45813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45813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45813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45813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45813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45813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45813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45813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45813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45813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45813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45813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45813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45813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45813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45813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45813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45813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45813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45813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45813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45813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45813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45813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45813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45813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45813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45813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45813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45813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45813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45813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45813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45813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45813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45813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45813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45813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45813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45813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45813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45813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45813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45813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45813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45813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45813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45813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45813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45813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45813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45813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45813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45813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45813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45813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45813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45813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45813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45813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45813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45813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45813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45813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45813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45813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45813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45813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45813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45813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45813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45813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45813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45813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45813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45813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45813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45813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45813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45813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45813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45813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45813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45813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45813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45813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45813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45813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45813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45813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45813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45813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45813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45813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45813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45813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45813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45813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45813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45813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45813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45813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45813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45813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45813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45813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45813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45813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45813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45813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45813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45813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45813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45813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45813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45813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45813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45813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45813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45813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45813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45813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45813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45813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45813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45813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45813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45813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45813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45813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45813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45813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45813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45813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45813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45813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45813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45813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45813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45813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45813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45813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45813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45813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45813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45813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45813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45813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45813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45813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45813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45813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45813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45813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45813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45813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45813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45813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45813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45813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45813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45813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45813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45813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45813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45813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45813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45813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45813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45813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45813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45813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45813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45813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45813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45813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45813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45813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45813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45813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45813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45813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45813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45813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45813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45813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45813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45813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45813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45813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45813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45813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45813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45813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45813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45813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45813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45813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45813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45813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45813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45813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45813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45813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45813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45813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45813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45813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45813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45813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45813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45813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45813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45813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45813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45813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45813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45813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45813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45813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45813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45813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45813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45813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45813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45813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45813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45813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45813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45813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45813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45813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45813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45813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45813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45813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45813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45813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45813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45813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45813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45813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45813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45813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45813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45813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45813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45813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45813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45813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45813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45813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45813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45813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45813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45813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45813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45813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45813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45813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45813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45813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45813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45813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45813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45813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45813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45813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45813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45813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45813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45813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45813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45813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45813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45813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45813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45813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45813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45813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45813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45813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45813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45813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45813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45813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45813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45813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45813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45813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45813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45813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45813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45813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45813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45813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45813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45813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45813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45813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45813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45813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45813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45813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45813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45813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45813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45813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45813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45813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45813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45813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45813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45813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45813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45813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45813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45813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45813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45813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45813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45813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45813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45813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45813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45813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45813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45813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45813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45813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45813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45813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45813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45813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45813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45813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45813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45813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45813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45813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45813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45813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45813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45813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45813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45813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45813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45813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45813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45813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45813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45813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45813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45813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45813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45813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45813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45813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45813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45813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45813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45813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45813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45813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45813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45813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45813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45813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45813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45813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45813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45813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45813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45813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45813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45813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45813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45813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45813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45813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45813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45813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45813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45813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45813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45813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45813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45813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45813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45813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45813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45813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45813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45813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45813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45813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45813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45813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45813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45813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45813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45813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45813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45813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45813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45813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45813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45813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45813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45813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45813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45813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45813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45813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45813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45813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45813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45813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45813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45813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45813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45813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45813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45813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45813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45813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45813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45813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45813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45813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45813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45813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45813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45813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45813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45813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45813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45813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45813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45813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45813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45813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45813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45813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45813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45813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45813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45813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45813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45813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45813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45813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45813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45813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45813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45813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45813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45813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45813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45813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45813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45813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45813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45813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45813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45813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45813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45813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45813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45813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45813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45813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45813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45813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45813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45813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45813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45813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45813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45813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45813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45813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45813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45813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45813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45813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45813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45813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45813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45813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45813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45813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45813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45813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45813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45813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45813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45813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45813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45813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45813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45813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45813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45813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45813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45813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45813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45813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45813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45813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45813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45813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45813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45813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45813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45813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45813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45813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45813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45813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45813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45813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45813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45813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45813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45813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45813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45813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45813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45813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45813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45813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45813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45813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45813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45813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45813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45813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45813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45813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45813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45813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45813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45813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45813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45813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45813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45813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45813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45813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45813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45813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45813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45813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45813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45813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45813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45813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45813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45813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45813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45813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45813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45813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45813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45813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45813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45813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45813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45813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45813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45813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45813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45813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45813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45813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45813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45813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45813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45813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45813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45813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45813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45813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45813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45813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45813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45813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45813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45813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45813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45813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45813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45813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24172-2025</t>
        </is>
      </c>
      <c r="B622" s="1" t="n">
        <v>45796</v>
      </c>
      <c r="C622" s="1" t="n">
        <v>45813</v>
      </c>
      <c r="D622" t="inlineStr">
        <is>
          <t>SÖDERMANLANDS LÄN</t>
        </is>
      </c>
      <c r="E622" t="inlineStr">
        <is>
          <t>GNESTA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45813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45813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2025-06-05T18:33:18Z</dcterms:created>
  <dcterms:modified xmlns:dcterms="http://purl.org/dc/terms/" xmlns:xsi="http://www.w3.org/2001/XMLSchema-instance" xsi:type="dcterms:W3CDTF">2025-06-05T18:33:19Z</dcterms:modified>
</cp:coreProperties>
</file>