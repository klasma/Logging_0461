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46010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46010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46010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46010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46010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46010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46010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46010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62137-2025</t>
        </is>
      </c>
      <c r="B10" s="1" t="n">
        <v>46006.46337962963</v>
      </c>
      <c r="C10" s="1" t="n">
        <v>46010</v>
      </c>
      <c r="D10" t="inlineStr">
        <is>
          <t>SÖDERMANLANDS LÄN</t>
        </is>
      </c>
      <c r="E10" t="inlineStr">
        <is>
          <t>GNESTA</t>
        </is>
      </c>
      <c r="G10" t="n">
        <v>9.6</v>
      </c>
      <c r="H10" t="n">
        <v>2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Tallticka
Björksplintborre
Grön sköldmossa
Jättesvampmal
Mindre märgborre</t>
        </is>
      </c>
      <c r="S10">
        <f>HYPERLINK("https://klasma.github.io/Logging_0461/artfynd/A 62137-2025 artfynd.xlsx", "A 62137-2025")</f>
        <v/>
      </c>
      <c r="T10">
        <f>HYPERLINK("https://klasma.github.io/Logging_0461/kartor/A 62137-2025 karta.png", "A 62137-2025")</f>
        <v/>
      </c>
      <c r="V10">
        <f>HYPERLINK("https://klasma.github.io/Logging_0461/klagomål/A 62137-2025 FSC-klagomål.docx", "A 62137-2025")</f>
        <v/>
      </c>
      <c r="W10">
        <f>HYPERLINK("https://klasma.github.io/Logging_0461/klagomålsmail/A 62137-2025 FSC-klagomål mail.docx", "A 62137-2025")</f>
        <v/>
      </c>
      <c r="X10">
        <f>HYPERLINK("https://klasma.github.io/Logging_0461/tillsyn/A 62137-2025 tillsynsbegäran.docx", "A 62137-2025")</f>
        <v/>
      </c>
      <c r="Y10">
        <f>HYPERLINK("https://klasma.github.io/Logging_0461/tillsynsmail/A 62137-2025 tillsynsbegäran mail.docx", "A 62137-2025")</f>
        <v/>
      </c>
      <c r="Z10">
        <f>HYPERLINK("https://klasma.github.io/Logging_0461/fåglar/A 62137-2025 prioriterade fågelarter.docx", "A 62137-2025")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46010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46010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43282-2024</t>
        </is>
      </c>
      <c r="B13" s="1" t="n">
        <v>45568</v>
      </c>
      <c r="C13" s="1" t="n">
        <v>46010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11.4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Motaggsvamp
Svart taggsvamp
Svartvit taggsvamp
Dropptaggsvamp</t>
        </is>
      </c>
      <c r="S13">
        <f>HYPERLINK("https://klasma.github.io/Logging_0461/artfynd/A 43282-2024 artfynd.xlsx", "A 43282-2024")</f>
        <v/>
      </c>
      <c r="T13">
        <f>HYPERLINK("https://klasma.github.io/Logging_0461/kartor/A 43282-2024 karta.png", "A 43282-2024")</f>
        <v/>
      </c>
      <c r="V13">
        <f>HYPERLINK("https://klasma.github.io/Logging_0461/klagomål/A 43282-2024 FSC-klagomål.docx", "A 43282-2024")</f>
        <v/>
      </c>
      <c r="W13">
        <f>HYPERLINK("https://klasma.github.io/Logging_0461/klagomålsmail/A 43282-2024 FSC-klagomål mail.docx", "A 43282-2024")</f>
        <v/>
      </c>
      <c r="X13">
        <f>HYPERLINK("https://klasma.github.io/Logging_0461/tillsyn/A 43282-2024 tillsynsbegäran.docx", "A 43282-2024")</f>
        <v/>
      </c>
      <c r="Y13">
        <f>HYPERLINK("https://klasma.github.io/Logging_0461/tillsynsmail/A 43282-2024 tillsynsbegäran mail.docx", "A 43282-2024")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46010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46010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46010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46010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46010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46010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46010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46010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46010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46010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46010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46010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46010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46010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46010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46010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46010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46010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50242-2025</t>
        </is>
      </c>
      <c r="B32" s="1" t="n">
        <v>45943</v>
      </c>
      <c r="C32" s="1" t="n">
        <v>46010</v>
      </c>
      <c r="D32" t="inlineStr">
        <is>
          <t>SÖDERMANLANDS LÄN</t>
        </is>
      </c>
      <c r="E32" t="inlineStr">
        <is>
          <t>GNESTA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HYPERLINK("https://klasma.github.io/Logging_0461/artfynd/A 50242-2025 artfynd.xlsx", "A 50242-2025")</f>
        <v/>
      </c>
      <c r="T32">
        <f>HYPERLINK("https://klasma.github.io/Logging_0461/kartor/A 50242-2025 karta.png", "A 50242-2025")</f>
        <v/>
      </c>
      <c r="V32">
        <f>HYPERLINK("https://klasma.github.io/Logging_0461/klagomål/A 50242-2025 FSC-klagomål.docx", "A 50242-2025")</f>
        <v/>
      </c>
      <c r="W32">
        <f>HYPERLINK("https://klasma.github.io/Logging_0461/klagomålsmail/A 50242-2025 FSC-klagomål mail.docx", "A 50242-2025")</f>
        <v/>
      </c>
      <c r="X32">
        <f>HYPERLINK("https://klasma.github.io/Logging_0461/tillsyn/A 50242-2025 tillsynsbegäran.docx", "A 50242-2025")</f>
        <v/>
      </c>
      <c r="Y32">
        <f>HYPERLINK("https://klasma.github.io/Logging_0461/tillsynsmail/A 50242-2025 tillsynsbegäran mail.docx", "A 50242-2025")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46010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46010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9303-2023</t>
        </is>
      </c>
      <c r="B35" s="1" t="n">
        <v>44980</v>
      </c>
      <c r="C35" s="1" t="n">
        <v>46010</v>
      </c>
      <c r="D35" t="inlineStr">
        <is>
          <t>SÖDERMANLANDS LÄN</t>
        </is>
      </c>
      <c r="E35" t="inlineStr">
        <is>
          <t>GNESTA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Zontaggsvamp</t>
        </is>
      </c>
      <c r="S35">
        <f>HYPERLINK("https://klasma.github.io/Logging_0461/artfynd/A 9303-2023 artfynd.xlsx", "A 9303-2023")</f>
        <v/>
      </c>
      <c r="T35">
        <f>HYPERLINK("https://klasma.github.io/Logging_0461/kartor/A 9303-2023 karta.png", "A 9303-2023")</f>
        <v/>
      </c>
      <c r="V35">
        <f>HYPERLINK("https://klasma.github.io/Logging_0461/klagomål/A 9303-2023 FSC-klagomål.docx", "A 9303-2023")</f>
        <v/>
      </c>
      <c r="W35">
        <f>HYPERLINK("https://klasma.github.io/Logging_0461/klagomålsmail/A 9303-2023 FSC-klagomål mail.docx", "A 9303-2023")</f>
        <v/>
      </c>
      <c r="X35">
        <f>HYPERLINK("https://klasma.github.io/Logging_0461/tillsyn/A 9303-2023 tillsynsbegäran.docx", "A 9303-2023")</f>
        <v/>
      </c>
      <c r="Y35">
        <f>HYPERLINK("https://klasma.github.io/Logging_0461/tillsynsmail/A 9303-2023 tillsynsbegäran mail.docx", "A 9303-2023")</f>
        <v/>
      </c>
    </row>
    <row r="36" ht="15" customHeight="1">
      <c r="A36" t="inlineStr">
        <is>
          <t>A 51217-2024</t>
        </is>
      </c>
      <c r="B36" s="1" t="n">
        <v>45603.65131944444</v>
      </c>
      <c r="C36" s="1" t="n">
        <v>46010</v>
      </c>
      <c r="D36" t="inlineStr">
        <is>
          <t>SÖDERMANLANDS LÄN</t>
        </is>
      </c>
      <c r="E36" t="inlineStr">
        <is>
          <t>GNESTA</t>
        </is>
      </c>
      <c r="G36" t="n">
        <v>16.6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HYPERLINK("https://klasma.github.io/Logging_0461/artfynd/A 51217-2024 artfynd.xlsx", "A 51217-2024")</f>
        <v/>
      </c>
      <c r="T36">
        <f>HYPERLINK("https://klasma.github.io/Logging_0461/kartor/A 51217-2024 karta.png", "A 51217-2024")</f>
        <v/>
      </c>
      <c r="V36">
        <f>HYPERLINK("https://klasma.github.io/Logging_0461/klagomål/A 51217-2024 FSC-klagomål.docx", "A 51217-2024")</f>
        <v/>
      </c>
      <c r="W36">
        <f>HYPERLINK("https://klasma.github.io/Logging_0461/klagomålsmail/A 51217-2024 FSC-klagomål mail.docx", "A 51217-2024")</f>
        <v/>
      </c>
      <c r="X36">
        <f>HYPERLINK("https://klasma.github.io/Logging_0461/tillsyn/A 51217-2024 tillsynsbegäran.docx", "A 51217-2024")</f>
        <v/>
      </c>
      <c r="Y36">
        <f>HYPERLINK("https://klasma.github.io/Logging_0461/tillsynsmail/A 51217-2024 tillsynsbegäran mail.docx", "A 51217-2024")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46010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46010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46010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46010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46010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46010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46010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6395-2023</t>
        </is>
      </c>
      <c r="B44" s="1" t="n">
        <v>44965.65668981482</v>
      </c>
      <c r="C44" s="1" t="n">
        <v>46010</v>
      </c>
      <c r="D44" t="inlineStr">
        <is>
          <t>SÖDERMANLANDS LÄN</t>
        </is>
      </c>
      <c r="E44" t="inlineStr">
        <is>
          <t>GNESTA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6395-2023 artfynd.xlsx", "A 6395-2023")</f>
        <v/>
      </c>
      <c r="T44">
        <f>HYPERLINK("https://klasma.github.io/Logging_0461/kartor/A 6395-2023 karta.png", "A 6395-2023")</f>
        <v/>
      </c>
      <c r="V44">
        <f>HYPERLINK("https://klasma.github.io/Logging_0461/klagomål/A 6395-2023 FSC-klagomål.docx", "A 6395-2023")</f>
        <v/>
      </c>
      <c r="W44">
        <f>HYPERLINK("https://klasma.github.io/Logging_0461/klagomålsmail/A 6395-2023 FSC-klagomål mail.docx", "A 6395-2023")</f>
        <v/>
      </c>
      <c r="X44">
        <f>HYPERLINK("https://klasma.github.io/Logging_0461/tillsyn/A 6395-2023 tillsynsbegäran.docx", "A 6395-2023")</f>
        <v/>
      </c>
      <c r="Y44">
        <f>HYPERLINK("https://klasma.github.io/Logging_0461/tillsynsmail/A 6395-2023 tillsynsbegäran mail.docx", "A 6395-2023")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46010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46010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5301-2022</t>
        </is>
      </c>
      <c r="B47" s="1" t="n">
        <v>44594</v>
      </c>
      <c r="C47" s="1" t="n">
        <v>46010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7303-2022</t>
        </is>
      </c>
      <c r="B48" s="1" t="n">
        <v>44606</v>
      </c>
      <c r="C48" s="1" t="n">
        <v>46010</v>
      </c>
      <c r="D48" t="inlineStr">
        <is>
          <t>SÖDERMANLANDS LÄN</t>
        </is>
      </c>
      <c r="E48" t="inlineStr">
        <is>
          <t>GNESTA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29527-2022</t>
        </is>
      </c>
      <c r="B49" s="1" t="n">
        <v>44742</v>
      </c>
      <c r="C49" s="1" t="n">
        <v>46010</v>
      </c>
      <c r="D49" t="inlineStr">
        <is>
          <t>SÖDERMANLANDS LÄN</t>
        </is>
      </c>
      <c r="E49" t="inlineStr">
        <is>
          <t>GNESTA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46010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7506-2022</t>
        </is>
      </c>
      <c r="B51" s="1" t="n">
        <v>44607.47239583333</v>
      </c>
      <c r="C51" s="1" t="n">
        <v>46010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46010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46010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46010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46010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46010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46010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46010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46010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46010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46010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46010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46010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46010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46010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46010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46010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46010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46010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46010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46010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46010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46010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46010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46010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46010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46010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46010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46010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46010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46010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46010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46010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7386-2021</t>
        </is>
      </c>
      <c r="B84" s="1" t="n">
        <v>44239</v>
      </c>
      <c r="C84" s="1" t="n">
        <v>46010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46010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46010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46010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46010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46010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47969-2022</t>
        </is>
      </c>
      <c r="B90" s="1" t="n">
        <v>44853</v>
      </c>
      <c r="C90" s="1" t="n">
        <v>46010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46079-2021</t>
        </is>
      </c>
      <c r="B91" s="1" t="n">
        <v>44442</v>
      </c>
      <c r="C91" s="1" t="n">
        <v>46010</v>
      </c>
      <c r="D91" t="inlineStr">
        <is>
          <t>SÖDERMANLANDS LÄN</t>
        </is>
      </c>
      <c r="E91" t="inlineStr">
        <is>
          <t>GNESTA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46010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46010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46010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68698-2020</t>
        </is>
      </c>
      <c r="B95" s="1" t="n">
        <v>44187</v>
      </c>
      <c r="C95" s="1" t="n">
        <v>46010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59616-2021</t>
        </is>
      </c>
      <c r="B96" s="1" t="n">
        <v>44491</v>
      </c>
      <c r="C96" s="1" t="n">
        <v>46010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46010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32273-2022</t>
        </is>
      </c>
      <c r="B98" s="1" t="n">
        <v>44781</v>
      </c>
      <c r="C98" s="1" t="n">
        <v>46010</v>
      </c>
      <c r="D98" t="inlineStr">
        <is>
          <t>SÖDERMANLANDS LÄN</t>
        </is>
      </c>
      <c r="E98" t="inlineStr">
        <is>
          <t>GNESTA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9038-2021</t>
        </is>
      </c>
      <c r="B99" s="1" t="n">
        <v>44246</v>
      </c>
      <c r="C99" s="1" t="n">
        <v>46010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46010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43201-2022</t>
        </is>
      </c>
      <c r="B101" s="1" t="n">
        <v>44833</v>
      </c>
      <c r="C101" s="1" t="n">
        <v>46010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46010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46010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46010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68687-2021</t>
        </is>
      </c>
      <c r="B105" s="1" t="n">
        <v>44529</v>
      </c>
      <c r="C105" s="1" t="n">
        <v>46010</v>
      </c>
      <c r="D105" t="inlineStr">
        <is>
          <t>SÖDERMANLANDS LÄN</t>
        </is>
      </c>
      <c r="E105" t="inlineStr">
        <is>
          <t>GNESTA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42178-2022</t>
        </is>
      </c>
      <c r="B106" s="1" t="n">
        <v>44830</v>
      </c>
      <c r="C106" s="1" t="n">
        <v>46010</v>
      </c>
      <c r="D106" t="inlineStr">
        <is>
          <t>SÖDERMANLANDS LÄN</t>
        </is>
      </c>
      <c r="E106" t="inlineStr">
        <is>
          <t>GNESTA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46010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32320-2022</t>
        </is>
      </c>
      <c r="B108" s="1" t="n">
        <v>44781</v>
      </c>
      <c r="C108" s="1" t="n">
        <v>46010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43192-2022</t>
        </is>
      </c>
      <c r="B109" s="1" t="n">
        <v>44833</v>
      </c>
      <c r="C109" s="1" t="n">
        <v>46010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56824-2021</t>
        </is>
      </c>
      <c r="B110" s="1" t="n">
        <v>44481</v>
      </c>
      <c r="C110" s="1" t="n">
        <v>46010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72529-2021</t>
        </is>
      </c>
      <c r="B111" s="1" t="n">
        <v>44546</v>
      </c>
      <c r="C111" s="1" t="n">
        <v>46010</v>
      </c>
      <c r="D111" t="inlineStr">
        <is>
          <t>SÖDERMANLANDS LÄN</t>
        </is>
      </c>
      <c r="E111" t="inlineStr">
        <is>
          <t>GNESTA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46010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46010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29758-2022</t>
        </is>
      </c>
      <c r="B114" s="1" t="n">
        <v>44755</v>
      </c>
      <c r="C114" s="1" t="n">
        <v>46010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46010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46010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46010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4438-2022</t>
        </is>
      </c>
      <c r="B118" s="1" t="n">
        <v>44589</v>
      </c>
      <c r="C118" s="1" t="n">
        <v>46010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46010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1216-2022</t>
        </is>
      </c>
      <c r="B120" s="1" t="n">
        <v>44572.55055555556</v>
      </c>
      <c r="C120" s="1" t="n">
        <v>46010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46010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46010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46010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46010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46010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46010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46010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46010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33288-2024</t>
        </is>
      </c>
      <c r="B129" s="1" t="n">
        <v>45518</v>
      </c>
      <c r="C129" s="1" t="n">
        <v>46010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46010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46010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46010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15205-2023</t>
        </is>
      </c>
      <c r="B133" s="1" t="n">
        <v>45018.60192129629</v>
      </c>
      <c r="C133" s="1" t="n">
        <v>46010</v>
      </c>
      <c r="D133" t="inlineStr">
        <is>
          <t>SÖDERMANLANDS LÄN</t>
        </is>
      </c>
      <c r="E133" t="inlineStr">
        <is>
          <t>GNESTA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56611-2022</t>
        </is>
      </c>
      <c r="B134" s="1" t="n">
        <v>44893</v>
      </c>
      <c r="C134" s="1" t="n">
        <v>46010</v>
      </c>
      <c r="D134" t="inlineStr">
        <is>
          <t>SÖDERMANLANDS LÄN</t>
        </is>
      </c>
      <c r="E134" t="inlineStr">
        <is>
          <t>GNESTA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46010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40830-2024</t>
        </is>
      </c>
      <c r="B136" s="1" t="n">
        <v>45558</v>
      </c>
      <c r="C136" s="1" t="n">
        <v>46010</v>
      </c>
      <c r="D136" t="inlineStr">
        <is>
          <t>SÖDERMANLANDS LÄN</t>
        </is>
      </c>
      <c r="E136" t="inlineStr">
        <is>
          <t>GNESTA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9134-2024</t>
        </is>
      </c>
      <c r="B137" s="1" t="n">
        <v>45358.35663194444</v>
      </c>
      <c r="C137" s="1" t="n">
        <v>46010</v>
      </c>
      <c r="D137" t="inlineStr">
        <is>
          <t>SÖDERMANLANDS LÄN</t>
        </is>
      </c>
      <c r="E137" t="inlineStr">
        <is>
          <t>GNESTA</t>
        </is>
      </c>
      <c r="F137" t="inlineStr">
        <is>
          <t>Övriga Aktiebolag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37113-2024</t>
        </is>
      </c>
      <c r="B138" s="1" t="n">
        <v>45539</v>
      </c>
      <c r="C138" s="1" t="n">
        <v>46010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37116-2024</t>
        </is>
      </c>
      <c r="B139" s="1" t="n">
        <v>45539</v>
      </c>
      <c r="C139" s="1" t="n">
        <v>46010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24416-2025</t>
        </is>
      </c>
      <c r="B140" s="1" t="n">
        <v>45797.67483796296</v>
      </c>
      <c r="C140" s="1" t="n">
        <v>46010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49614-2023</t>
        </is>
      </c>
      <c r="B141" s="1" t="n">
        <v>45211</v>
      </c>
      <c r="C141" s="1" t="n">
        <v>46010</v>
      </c>
      <c r="D141" t="inlineStr">
        <is>
          <t>SÖDERMANLANDS LÄN</t>
        </is>
      </c>
      <c r="E141" t="inlineStr">
        <is>
          <t>GNESTA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8437-2024</t>
        </is>
      </c>
      <c r="B142" s="1" t="n">
        <v>45353</v>
      </c>
      <c r="C142" s="1" t="n">
        <v>46010</v>
      </c>
      <c r="D142" t="inlineStr">
        <is>
          <t>SÖDERMANLANDS LÄN</t>
        </is>
      </c>
      <c r="E142" t="inlineStr">
        <is>
          <t>GNESTA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24166-2025</t>
        </is>
      </c>
      <c r="B143" s="1" t="n">
        <v>45796.67364583333</v>
      </c>
      <c r="C143" s="1" t="n">
        <v>46010</v>
      </c>
      <c r="D143" t="inlineStr">
        <is>
          <t>SÖDERMANLANDS LÄN</t>
        </is>
      </c>
      <c r="E143" t="inlineStr">
        <is>
          <t>GNESTA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24172-2025</t>
        </is>
      </c>
      <c r="B144" s="1" t="n">
        <v>45796.68408564815</v>
      </c>
      <c r="C144" s="1" t="n">
        <v>46010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24170-2025</t>
        </is>
      </c>
      <c r="B145" s="1" t="n">
        <v>45796.67907407408</v>
      </c>
      <c r="C145" s="1" t="n">
        <v>46010</v>
      </c>
      <c r="D145" t="inlineStr">
        <is>
          <t>SÖDERMANLANDS LÄN</t>
        </is>
      </c>
      <c r="E145" t="inlineStr">
        <is>
          <t>GNESTA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10331-2025</t>
        </is>
      </c>
      <c r="B146" s="1" t="n">
        <v>45720.48327546296</v>
      </c>
      <c r="C146" s="1" t="n">
        <v>46010</v>
      </c>
      <c r="D146" t="inlineStr">
        <is>
          <t>SÖDERMANLANDS LÄN</t>
        </is>
      </c>
      <c r="E146" t="inlineStr">
        <is>
          <t>GNESTA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30638-2024</t>
        </is>
      </c>
      <c r="B147" s="1" t="n">
        <v>45495.56300925926</v>
      </c>
      <c r="C147" s="1" t="n">
        <v>46010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46010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43533-2024</t>
        </is>
      </c>
      <c r="B149" s="1" t="n">
        <v>45569</v>
      </c>
      <c r="C149" s="1" t="n">
        <v>46010</v>
      </c>
      <c r="D149" t="inlineStr">
        <is>
          <t>SÖDERMANLANDS LÄN</t>
        </is>
      </c>
      <c r="E149" t="inlineStr">
        <is>
          <t>GNESTA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62981-2023</t>
        </is>
      </c>
      <c r="B150" s="1" t="n">
        <v>45272.59262731481</v>
      </c>
      <c r="C150" s="1" t="n">
        <v>46010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56442-2022</t>
        </is>
      </c>
      <c r="B151" s="1" t="n">
        <v>44892.77658564815</v>
      </c>
      <c r="C151" s="1" t="n">
        <v>46010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5822-2023</t>
        </is>
      </c>
      <c r="B152" s="1" t="n">
        <v>44958</v>
      </c>
      <c r="C152" s="1" t="n">
        <v>46010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39964-2025</t>
        </is>
      </c>
      <c r="B153" s="1" t="n">
        <v>45892</v>
      </c>
      <c r="C153" s="1" t="n">
        <v>46010</v>
      </c>
      <c r="D153" t="inlineStr">
        <is>
          <t>SÖDERMANLANDS LÄN</t>
        </is>
      </c>
      <c r="E153" t="inlineStr">
        <is>
          <t>GNESTA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46010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7644-2023</t>
        </is>
      </c>
      <c r="B155" s="1" t="n">
        <v>44972</v>
      </c>
      <c r="C155" s="1" t="n">
        <v>46010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37282-2021</t>
        </is>
      </c>
      <c r="B156" s="1" t="n">
        <v>44397</v>
      </c>
      <c r="C156" s="1" t="n">
        <v>46010</v>
      </c>
      <c r="D156" t="inlineStr">
        <is>
          <t>SÖDERMANLANDS LÄN</t>
        </is>
      </c>
      <c r="E156" t="inlineStr">
        <is>
          <t>GNESTA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40481-2025</t>
        </is>
      </c>
      <c r="B157" s="1" t="n">
        <v>45895.77706018519</v>
      </c>
      <c r="C157" s="1" t="n">
        <v>46010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44265.41753472222</v>
      </c>
      <c r="C158" s="1" t="n">
        <v>46010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62020-2022</t>
        </is>
      </c>
      <c r="B159" s="1" t="n">
        <v>44918.48496527778</v>
      </c>
      <c r="C159" s="1" t="n">
        <v>46010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27141-2025</t>
        </is>
      </c>
      <c r="B160" s="1" t="n">
        <v>45812</v>
      </c>
      <c r="C160" s="1" t="n">
        <v>46010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2476-2022</t>
        </is>
      </c>
      <c r="B161" s="1" t="n">
        <v>44579</v>
      </c>
      <c r="C161" s="1" t="n">
        <v>46010</v>
      </c>
      <c r="D161" t="inlineStr">
        <is>
          <t>SÖDERMANLANDS LÄN</t>
        </is>
      </c>
      <c r="E161" t="inlineStr">
        <is>
          <t>GNESTA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18902-2023</t>
        </is>
      </c>
      <c r="B162" s="1" t="n">
        <v>45044</v>
      </c>
      <c r="C162" s="1" t="n">
        <v>46010</v>
      </c>
      <c r="D162" t="inlineStr">
        <is>
          <t>SÖDERMANLANDS LÄN</t>
        </is>
      </c>
      <c r="E162" t="inlineStr">
        <is>
          <t>GNESTA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32060-2025</t>
        </is>
      </c>
      <c r="B163" s="1" t="n">
        <v>45835.44564814815</v>
      </c>
      <c r="C163" s="1" t="n">
        <v>46010</v>
      </c>
      <c r="D163" t="inlineStr">
        <is>
          <t>SÖDERMANLANDS LÄN</t>
        </is>
      </c>
      <c r="E163" t="inlineStr">
        <is>
          <t>GNESTA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68389-2021</t>
        </is>
      </c>
      <c r="B164" s="1" t="n">
        <v>44529.34519675926</v>
      </c>
      <c r="C164" s="1" t="n">
        <v>46010</v>
      </c>
      <c r="D164" t="inlineStr">
        <is>
          <t>SÖDERMANLANDS LÄN</t>
        </is>
      </c>
      <c r="E164" t="inlineStr">
        <is>
          <t>GNESTA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42973-2025</t>
        </is>
      </c>
      <c r="B165" s="1" t="n">
        <v>45909.42108796296</v>
      </c>
      <c r="C165" s="1" t="n">
        <v>46010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43040-2025</t>
        </is>
      </c>
      <c r="B166" s="1" t="n">
        <v>45909.55231481481</v>
      </c>
      <c r="C166" s="1" t="n">
        <v>46010</v>
      </c>
      <c r="D166" t="inlineStr">
        <is>
          <t>SÖDERMANLANDS LÄN</t>
        </is>
      </c>
      <c r="E166" t="inlineStr">
        <is>
          <t>GNESTA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43263-2025</t>
        </is>
      </c>
      <c r="B167" s="1" t="n">
        <v>45910</v>
      </c>
      <c r="C167" s="1" t="n">
        <v>46010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73482-2021</t>
        </is>
      </c>
      <c r="B168" s="1" t="n">
        <v>44551</v>
      </c>
      <c r="C168" s="1" t="n">
        <v>46010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7054-2022</t>
        </is>
      </c>
      <c r="B169" s="1" t="n">
        <v>44603</v>
      </c>
      <c r="C169" s="1" t="n">
        <v>46010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49011-2022</t>
        </is>
      </c>
      <c r="B170" s="1" t="n">
        <v>44860.40634259259</v>
      </c>
      <c r="C170" s="1" t="n">
        <v>46010</v>
      </c>
      <c r="D170" t="inlineStr">
        <is>
          <t>SÖDERMANLANDS LÄN</t>
        </is>
      </c>
      <c r="E170" t="inlineStr">
        <is>
          <t>GNESTA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48304-2023</t>
        </is>
      </c>
      <c r="B171" s="1" t="n">
        <v>45205.57822916667</v>
      </c>
      <c r="C171" s="1" t="n">
        <v>46010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44272-2025</t>
        </is>
      </c>
      <c r="B172" s="1" t="n">
        <v>45916.33131944444</v>
      </c>
      <c r="C172" s="1" t="n">
        <v>46010</v>
      </c>
      <c r="D172" t="inlineStr">
        <is>
          <t>SÖDERMANLANDS LÄN</t>
        </is>
      </c>
      <c r="E172" t="inlineStr">
        <is>
          <t>GNESTA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45515-2024</t>
        </is>
      </c>
      <c r="B173" s="1" t="n">
        <v>45578</v>
      </c>
      <c r="C173" s="1" t="n">
        <v>46010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33870-2025</t>
        </is>
      </c>
      <c r="B174" s="1" t="n">
        <v>45842.543125</v>
      </c>
      <c r="C174" s="1" t="n">
        <v>46010</v>
      </c>
      <c r="D174" t="inlineStr">
        <is>
          <t>SÖDERMANLANDS LÄN</t>
        </is>
      </c>
      <c r="E174" t="inlineStr">
        <is>
          <t>GNESTA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34425-2023</t>
        </is>
      </c>
      <c r="B175" s="1" t="n">
        <v>45133</v>
      </c>
      <c r="C175" s="1" t="n">
        <v>46010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25635-2023</t>
        </is>
      </c>
      <c r="B176" s="1" t="n">
        <v>45089.71910879629</v>
      </c>
      <c r="C176" s="1" t="n">
        <v>46010</v>
      </c>
      <c r="D176" t="inlineStr">
        <is>
          <t>SÖDERMANLANDS LÄN</t>
        </is>
      </c>
      <c r="E176" t="inlineStr">
        <is>
          <t>GNESTA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46010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6160-2022</t>
        </is>
      </c>
      <c r="B178" s="1" t="n">
        <v>44599</v>
      </c>
      <c r="C178" s="1" t="n">
        <v>46010</v>
      </c>
      <c r="D178" t="inlineStr">
        <is>
          <t>SÖDERMANLANDS LÄN</t>
        </is>
      </c>
      <c r="E178" t="inlineStr">
        <is>
          <t>GNESTA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34091-2024</t>
        </is>
      </c>
      <c r="B179" s="1" t="n">
        <v>45523</v>
      </c>
      <c r="C179" s="1" t="n">
        <v>46010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46010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61134-2024</t>
        </is>
      </c>
      <c r="B181" s="1" t="n">
        <v>45645.58368055556</v>
      </c>
      <c r="C181" s="1" t="n">
        <v>46010</v>
      </c>
      <c r="D181" t="inlineStr">
        <is>
          <t>SÖDERMANLANDS LÄN</t>
        </is>
      </c>
      <c r="E181" t="inlineStr">
        <is>
          <t>GNESTA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21854-2023</t>
        </is>
      </c>
      <c r="B182" s="1" t="n">
        <v>45068</v>
      </c>
      <c r="C182" s="1" t="n">
        <v>46010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30627-2024</t>
        </is>
      </c>
      <c r="B183" s="1" t="n">
        <v>45495.4729050926</v>
      </c>
      <c r="C183" s="1" t="n">
        <v>46010</v>
      </c>
      <c r="D183" t="inlineStr">
        <is>
          <t>SÖDERMANLANDS LÄN</t>
        </is>
      </c>
      <c r="E183" t="inlineStr">
        <is>
          <t>GNESTA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8358-2024</t>
        </is>
      </c>
      <c r="B184" s="1" t="n">
        <v>45352</v>
      </c>
      <c r="C184" s="1" t="n">
        <v>46010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6394-2023</t>
        </is>
      </c>
      <c r="B185" s="1" t="n">
        <v>44965.65447916667</v>
      </c>
      <c r="C185" s="1" t="n">
        <v>46010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3002-2023</t>
        </is>
      </c>
      <c r="B186" s="1" t="n">
        <v>44945</v>
      </c>
      <c r="C186" s="1" t="n">
        <v>46010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38894-2023</t>
        </is>
      </c>
      <c r="B187" s="1" t="n">
        <v>45163.56357638889</v>
      </c>
      <c r="C187" s="1" t="n">
        <v>46010</v>
      </c>
      <c r="D187" t="inlineStr">
        <is>
          <t>SÖDERMANLANDS LÄN</t>
        </is>
      </c>
      <c r="E187" t="inlineStr">
        <is>
          <t>GNESTA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36843-2025</t>
        </is>
      </c>
      <c r="B188" s="1" t="n">
        <v>45874</v>
      </c>
      <c r="C188" s="1" t="n">
        <v>46010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37502-2025</t>
        </is>
      </c>
      <c r="B189" s="1" t="n">
        <v>45877</v>
      </c>
      <c r="C189" s="1" t="n">
        <v>46010</v>
      </c>
      <c r="D189" t="inlineStr">
        <is>
          <t>SÖDERMANLANDS LÄN</t>
        </is>
      </c>
      <c r="E189" t="inlineStr">
        <is>
          <t>GNESTA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36162-2022</t>
        </is>
      </c>
      <c r="B190" s="1" t="n">
        <v>44803</v>
      </c>
      <c r="C190" s="1" t="n">
        <v>46010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7735-2023</t>
        </is>
      </c>
      <c r="B191" s="1" t="n">
        <v>44973</v>
      </c>
      <c r="C191" s="1" t="n">
        <v>46010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38161-2025</t>
        </is>
      </c>
      <c r="B192" s="1" t="n">
        <v>45882.62423611111</v>
      </c>
      <c r="C192" s="1" t="n">
        <v>46010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20168-2025</t>
        </is>
      </c>
      <c r="B193" s="1" t="n">
        <v>45772</v>
      </c>
      <c r="C193" s="1" t="n">
        <v>46010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38159-2025</t>
        </is>
      </c>
      <c r="B194" s="1" t="n">
        <v>45882.62059027778</v>
      </c>
      <c r="C194" s="1" t="n">
        <v>46010</v>
      </c>
      <c r="D194" t="inlineStr">
        <is>
          <t>SÖDERMANLANDS LÄN</t>
        </is>
      </c>
      <c r="E194" t="inlineStr">
        <is>
          <t>GNESTA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38172-2025</t>
        </is>
      </c>
      <c r="B195" s="1" t="n">
        <v>45882.6340162037</v>
      </c>
      <c r="C195" s="1" t="n">
        <v>46010</v>
      </c>
      <c r="D195" t="inlineStr">
        <is>
          <t>SÖDERMANLANDS LÄN</t>
        </is>
      </c>
      <c r="E195" t="inlineStr">
        <is>
          <t>GNESTA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38178-2025</t>
        </is>
      </c>
      <c r="B196" s="1" t="n">
        <v>45882.64111111111</v>
      </c>
      <c r="C196" s="1" t="n">
        <v>46010</v>
      </c>
      <c r="D196" t="inlineStr">
        <is>
          <t>SÖDERMANLANDS LÄN</t>
        </is>
      </c>
      <c r="E196" t="inlineStr">
        <is>
          <t>GNESTA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38155-2025</t>
        </is>
      </c>
      <c r="B197" s="1" t="n">
        <v>45882.61208333333</v>
      </c>
      <c r="C197" s="1" t="n">
        <v>46010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67-2024</t>
        </is>
      </c>
      <c r="B198" s="1" t="n">
        <v>45293</v>
      </c>
      <c r="C198" s="1" t="n">
        <v>46010</v>
      </c>
      <c r="D198" t="inlineStr">
        <is>
          <t>SÖDERMANLANDS LÄN</t>
        </is>
      </c>
      <c r="E198" t="inlineStr">
        <is>
          <t>GNESTA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21762-2021</t>
        </is>
      </c>
      <c r="B199" s="1" t="n">
        <v>44322</v>
      </c>
      <c r="C199" s="1" t="n">
        <v>46010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2291-2025</t>
        </is>
      </c>
      <c r="B200" s="1" t="n">
        <v>45673</v>
      </c>
      <c r="C200" s="1" t="n">
        <v>46010</v>
      </c>
      <c r="D200" t="inlineStr">
        <is>
          <t>SÖDERMANLANDS LÄN</t>
        </is>
      </c>
      <c r="E200" t="inlineStr">
        <is>
          <t>GNESTA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22166-2024</t>
        </is>
      </c>
      <c r="B201" s="1" t="n">
        <v>45446.24053240741</v>
      </c>
      <c r="C201" s="1" t="n">
        <v>46010</v>
      </c>
      <c r="D201" t="inlineStr">
        <is>
          <t>SÖDERMANLANDS LÄN</t>
        </is>
      </c>
      <c r="E201" t="inlineStr">
        <is>
          <t>GNESTA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29987-2024</t>
        </is>
      </c>
      <c r="B202" s="1" t="n">
        <v>45488.51107638889</v>
      </c>
      <c r="C202" s="1" t="n">
        <v>46010</v>
      </c>
      <c r="D202" t="inlineStr">
        <is>
          <t>SÖDERMANLANDS LÄN</t>
        </is>
      </c>
      <c r="E202" t="inlineStr">
        <is>
          <t>GNESTA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16927-2024</t>
        </is>
      </c>
      <c r="B203" s="1" t="n">
        <v>45411.67149305555</v>
      </c>
      <c r="C203" s="1" t="n">
        <v>46010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21172-2023</t>
        </is>
      </c>
      <c r="B204" s="1" t="n">
        <v>45062</v>
      </c>
      <c r="C204" s="1" t="n">
        <v>46010</v>
      </c>
      <c r="D204" t="inlineStr">
        <is>
          <t>SÖDERMANLANDS LÄN</t>
        </is>
      </c>
      <c r="E204" t="inlineStr">
        <is>
          <t>GNESTA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41728-2021</t>
        </is>
      </c>
      <c r="B205" s="1" t="n">
        <v>44425</v>
      </c>
      <c r="C205" s="1" t="n">
        <v>46010</v>
      </c>
      <c r="D205" t="inlineStr">
        <is>
          <t>SÖDERMANLANDS LÄN</t>
        </is>
      </c>
      <c r="E205" t="inlineStr">
        <is>
          <t>GNESTA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23962-2023</t>
        </is>
      </c>
      <c r="B206" s="1" t="n">
        <v>45078</v>
      </c>
      <c r="C206" s="1" t="n">
        <v>46010</v>
      </c>
      <c r="D206" t="inlineStr">
        <is>
          <t>SÖDERMANLANDS LÄN</t>
        </is>
      </c>
      <c r="E206" t="inlineStr">
        <is>
          <t>GNESTA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4391-2022</t>
        </is>
      </c>
      <c r="B207" s="1" t="n">
        <v>44589</v>
      </c>
      <c r="C207" s="1" t="n">
        <v>46010</v>
      </c>
      <c r="D207" t="inlineStr">
        <is>
          <t>SÖDERMANLANDS LÄN</t>
        </is>
      </c>
      <c r="E207" t="inlineStr">
        <is>
          <t>GNESTA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65082-2023</t>
        </is>
      </c>
      <c r="B208" s="1" t="n">
        <v>45288</v>
      </c>
      <c r="C208" s="1" t="n">
        <v>46010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45766-2023</t>
        </is>
      </c>
      <c r="B209" s="1" t="n">
        <v>45195</v>
      </c>
      <c r="C209" s="1" t="n">
        <v>46010</v>
      </c>
      <c r="D209" t="inlineStr">
        <is>
          <t>SÖDERMANLANDS LÄN</t>
        </is>
      </c>
      <c r="E209" t="inlineStr">
        <is>
          <t>GNESTA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28458-2023</t>
        </is>
      </c>
      <c r="B210" s="1" t="n">
        <v>45103</v>
      </c>
      <c r="C210" s="1" t="n">
        <v>46010</v>
      </c>
      <c r="D210" t="inlineStr">
        <is>
          <t>SÖDERMANLANDS LÄN</t>
        </is>
      </c>
      <c r="E210" t="inlineStr">
        <is>
          <t>GNESTA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44788-2022</t>
        </is>
      </c>
      <c r="B211" s="1" t="n">
        <v>44839</v>
      </c>
      <c r="C211" s="1" t="n">
        <v>46010</v>
      </c>
      <c r="D211" t="inlineStr">
        <is>
          <t>SÖDERMANLANDS LÄN</t>
        </is>
      </c>
      <c r="E211" t="inlineStr">
        <is>
          <t>GNESTA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36333-2023</t>
        </is>
      </c>
      <c r="B212" s="1" t="n">
        <v>45152</v>
      </c>
      <c r="C212" s="1" t="n">
        <v>46010</v>
      </c>
      <c r="D212" t="inlineStr">
        <is>
          <t>SÖDERMANLANDS LÄN</t>
        </is>
      </c>
      <c r="E212" t="inlineStr">
        <is>
          <t>GNESTA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57183-2025</t>
        </is>
      </c>
      <c r="B213" s="1" t="n">
        <v>45979.57028935185</v>
      </c>
      <c r="C213" s="1" t="n">
        <v>46010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40505-2025</t>
        </is>
      </c>
      <c r="B214" s="1" t="n">
        <v>45896</v>
      </c>
      <c r="C214" s="1" t="n">
        <v>46010</v>
      </c>
      <c r="D214" t="inlineStr">
        <is>
          <t>SÖDERMANLANDS LÄN</t>
        </is>
      </c>
      <c r="E214" t="inlineStr">
        <is>
          <t>GNESTA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42516-2022</t>
        </is>
      </c>
      <c r="B215" s="1" t="n">
        <v>44831</v>
      </c>
      <c r="C215" s="1" t="n">
        <v>46010</v>
      </c>
      <c r="D215" t="inlineStr">
        <is>
          <t>SÖDERMANLANDS LÄN</t>
        </is>
      </c>
      <c r="E215" t="inlineStr">
        <is>
          <t>GNESTA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5911-2023</t>
        </is>
      </c>
      <c r="B216" s="1" t="n">
        <v>44963.67546296296</v>
      </c>
      <c r="C216" s="1" t="n">
        <v>46010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41728-2021</t>
        </is>
      </c>
      <c r="B217" s="1" t="n">
        <v>44425</v>
      </c>
      <c r="C217" s="1" t="n">
        <v>46010</v>
      </c>
      <c r="D217" t="inlineStr">
        <is>
          <t>SÖDERMANLANDS LÄN</t>
        </is>
      </c>
      <c r="E217" t="inlineStr">
        <is>
          <t>GNESTA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18406-2023</t>
        </is>
      </c>
      <c r="B218" s="1" t="n">
        <v>45042</v>
      </c>
      <c r="C218" s="1" t="n">
        <v>46010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14055-2023</t>
        </is>
      </c>
      <c r="B219" s="1" t="n">
        <v>45008</v>
      </c>
      <c r="C219" s="1" t="n">
        <v>46010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49332-2025</t>
        </is>
      </c>
      <c r="B220" s="1" t="n">
        <v>45938.58184027778</v>
      </c>
      <c r="C220" s="1" t="n">
        <v>46010</v>
      </c>
      <c r="D220" t="inlineStr">
        <is>
          <t>SÖDERMANLANDS LÄN</t>
        </is>
      </c>
      <c r="E220" t="inlineStr">
        <is>
          <t>GNESTA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43246-2024</t>
        </is>
      </c>
      <c r="B221" s="1" t="n">
        <v>45568</v>
      </c>
      <c r="C221" s="1" t="n">
        <v>46010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6415-2021</t>
        </is>
      </c>
      <c r="B222" s="1" t="n">
        <v>44235</v>
      </c>
      <c r="C222" s="1" t="n">
        <v>46010</v>
      </c>
      <c r="D222" t="inlineStr">
        <is>
          <t>SÖDERMANLANDS LÄN</t>
        </is>
      </c>
      <c r="E222" t="inlineStr">
        <is>
          <t>GNESTA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38379-2024</t>
        </is>
      </c>
      <c r="B223" s="1" t="n">
        <v>45546.25673611111</v>
      </c>
      <c r="C223" s="1" t="n">
        <v>46010</v>
      </c>
      <c r="D223" t="inlineStr">
        <is>
          <t>SÖDERMANLANDS LÄN</t>
        </is>
      </c>
      <c r="E223" t="inlineStr">
        <is>
          <t>GNESTA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7794-2023</t>
        </is>
      </c>
      <c r="B224" s="1" t="n">
        <v>44973</v>
      </c>
      <c r="C224" s="1" t="n">
        <v>46010</v>
      </c>
      <c r="D224" t="inlineStr">
        <is>
          <t>SÖDERMANLANDS LÄN</t>
        </is>
      </c>
      <c r="E224" t="inlineStr">
        <is>
          <t>GNESTA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20033-2022</t>
        </is>
      </c>
      <c r="B225" s="1" t="n">
        <v>44697.68427083334</v>
      </c>
      <c r="C225" s="1" t="n">
        <v>46010</v>
      </c>
      <c r="D225" t="inlineStr">
        <is>
          <t>SÖDERMANLANDS LÄN</t>
        </is>
      </c>
      <c r="E225" t="inlineStr">
        <is>
          <t>GNESTA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40075-2022</t>
        </is>
      </c>
      <c r="B226" s="1" t="n">
        <v>44819</v>
      </c>
      <c r="C226" s="1" t="n">
        <v>46010</v>
      </c>
      <c r="D226" t="inlineStr">
        <is>
          <t>SÖDERMANLANDS LÄN</t>
        </is>
      </c>
      <c r="E226" t="inlineStr">
        <is>
          <t>GNESTA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37197-2025</t>
        </is>
      </c>
      <c r="B227" s="1" t="n">
        <v>45875</v>
      </c>
      <c r="C227" s="1" t="n">
        <v>46010</v>
      </c>
      <c r="D227" t="inlineStr">
        <is>
          <t>SÖDERMANLANDS LÄN</t>
        </is>
      </c>
      <c r="E227" t="inlineStr">
        <is>
          <t>GNESTA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7873-2025</t>
        </is>
      </c>
      <c r="B228" s="1" t="n">
        <v>45706</v>
      </c>
      <c r="C228" s="1" t="n">
        <v>46010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15603-2021</t>
        </is>
      </c>
      <c r="B229" s="1" t="n">
        <v>44285</v>
      </c>
      <c r="C229" s="1" t="n">
        <v>46010</v>
      </c>
      <c r="D229" t="inlineStr">
        <is>
          <t>SÖDERMANLANDS LÄN</t>
        </is>
      </c>
      <c r="E229" t="inlineStr">
        <is>
          <t>GNESTA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16645-2022</t>
        </is>
      </c>
      <c r="B230" s="1" t="n">
        <v>44672</v>
      </c>
      <c r="C230" s="1" t="n">
        <v>46010</v>
      </c>
      <c r="D230" t="inlineStr">
        <is>
          <t>SÖDERMANLANDS LÄN</t>
        </is>
      </c>
      <c r="E230" t="inlineStr">
        <is>
          <t>GNESTA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62883-2023</t>
        </is>
      </c>
      <c r="B231" s="1" t="n">
        <v>45272.39652777778</v>
      </c>
      <c r="C231" s="1" t="n">
        <v>46010</v>
      </c>
      <c r="D231" t="inlineStr">
        <is>
          <t>SÖDERMANLANDS LÄN</t>
        </is>
      </c>
      <c r="E231" t="inlineStr">
        <is>
          <t>GNESTA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62889-2023</t>
        </is>
      </c>
      <c r="B232" s="1" t="n">
        <v>45272.41775462963</v>
      </c>
      <c r="C232" s="1" t="n">
        <v>46010</v>
      </c>
      <c r="D232" t="inlineStr">
        <is>
          <t>SÖDERMANLANDS LÄN</t>
        </is>
      </c>
      <c r="E232" t="inlineStr">
        <is>
          <t>GNESTA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41600-2021</t>
        </is>
      </c>
      <c r="B233" s="1" t="n">
        <v>44425.43130787037</v>
      </c>
      <c r="C233" s="1" t="n">
        <v>46010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21174-2023</t>
        </is>
      </c>
      <c r="B234" s="1" t="n">
        <v>45062</v>
      </c>
      <c r="C234" s="1" t="n">
        <v>46010</v>
      </c>
      <c r="D234" t="inlineStr">
        <is>
          <t>SÖDERMANLANDS LÄN</t>
        </is>
      </c>
      <c r="E234" t="inlineStr">
        <is>
          <t>GNESTA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57341-2025</t>
        </is>
      </c>
      <c r="B235" s="1" t="n">
        <v>45979</v>
      </c>
      <c r="C235" s="1" t="n">
        <v>46010</v>
      </c>
      <c r="D235" t="inlineStr">
        <is>
          <t>SÖDERMANLANDS LÄN</t>
        </is>
      </c>
      <c r="E235" t="inlineStr">
        <is>
          <t>GNESTA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20986-2023</t>
        </is>
      </c>
      <c r="B236" s="1" t="n">
        <v>45061.45511574074</v>
      </c>
      <c r="C236" s="1" t="n">
        <v>46010</v>
      </c>
      <c r="D236" t="inlineStr">
        <is>
          <t>SÖDERMANLANDS LÄN</t>
        </is>
      </c>
      <c r="E236" t="inlineStr">
        <is>
          <t>GNESTA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7777-2023</t>
        </is>
      </c>
      <c r="B237" s="1" t="n">
        <v>44973</v>
      </c>
      <c r="C237" s="1" t="n">
        <v>46010</v>
      </c>
      <c r="D237" t="inlineStr">
        <is>
          <t>SÖDERMANLANDS LÄN</t>
        </is>
      </c>
      <c r="E237" t="inlineStr">
        <is>
          <t>GNESTA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52333-2025</t>
        </is>
      </c>
      <c r="B238" s="1" t="n">
        <v>45953.68208333333</v>
      </c>
      <c r="C238" s="1" t="n">
        <v>46010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52069-2025</t>
        </is>
      </c>
      <c r="B239" s="1" t="n">
        <v>45952.64488425926</v>
      </c>
      <c r="C239" s="1" t="n">
        <v>46010</v>
      </c>
      <c r="D239" t="inlineStr">
        <is>
          <t>SÖDERMANLANDS LÄN</t>
        </is>
      </c>
      <c r="E239" t="inlineStr">
        <is>
          <t>GNESTA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9884-2025</t>
        </is>
      </c>
      <c r="B240" s="1" t="n">
        <v>45716.6593287037</v>
      </c>
      <c r="C240" s="1" t="n">
        <v>46010</v>
      </c>
      <c r="D240" t="inlineStr">
        <is>
          <t>SÖDERMANLANDS LÄN</t>
        </is>
      </c>
      <c r="E240" t="inlineStr">
        <is>
          <t>GNESTA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60157-2025</t>
        </is>
      </c>
      <c r="B241" s="1" t="n">
        <v>45994.4268287037</v>
      </c>
      <c r="C241" s="1" t="n">
        <v>46010</v>
      </c>
      <c r="D241" t="inlineStr">
        <is>
          <t>SÖDERMANLANDS LÄN</t>
        </is>
      </c>
      <c r="E241" t="inlineStr">
        <is>
          <t>GNESTA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57601-2021</t>
        </is>
      </c>
      <c r="B242" s="1" t="n">
        <v>44484</v>
      </c>
      <c r="C242" s="1" t="n">
        <v>46010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60193-2025</t>
        </is>
      </c>
      <c r="B243" s="1" t="n">
        <v>45994.48403935185</v>
      </c>
      <c r="C243" s="1" t="n">
        <v>46010</v>
      </c>
      <c r="D243" t="inlineStr">
        <is>
          <t>SÖDERMANLANDS LÄN</t>
        </is>
      </c>
      <c r="E243" t="inlineStr">
        <is>
          <t>GNESTA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33833-2024</t>
        </is>
      </c>
      <c r="B244" s="1" t="n">
        <v>45520.6219212963</v>
      </c>
      <c r="C244" s="1" t="n">
        <v>46010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62247-2022</t>
        </is>
      </c>
      <c r="B245" s="1" t="n">
        <v>44922.8935300926</v>
      </c>
      <c r="C245" s="1" t="n">
        <v>46010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5233-2025</t>
        </is>
      </c>
      <c r="B246" s="1" t="n">
        <v>45691</v>
      </c>
      <c r="C246" s="1" t="n">
        <v>46010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7292-2023</t>
        </is>
      </c>
      <c r="B247" s="1" t="n">
        <v>44970</v>
      </c>
      <c r="C247" s="1" t="n">
        <v>46010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52849-2025</t>
        </is>
      </c>
      <c r="B248" s="1" t="n">
        <v>45957.49063657408</v>
      </c>
      <c r="C248" s="1" t="n">
        <v>46010</v>
      </c>
      <c r="D248" t="inlineStr">
        <is>
          <t>SÖDERMANLANDS LÄN</t>
        </is>
      </c>
      <c r="E248" t="inlineStr">
        <is>
          <t>GNESTA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9047-2021</t>
        </is>
      </c>
      <c r="B249" s="1" t="n">
        <v>44246</v>
      </c>
      <c r="C249" s="1" t="n">
        <v>46010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19364-2024</t>
        </is>
      </c>
      <c r="B250" s="1" t="n">
        <v>45429.33055555556</v>
      </c>
      <c r="C250" s="1" t="n">
        <v>46010</v>
      </c>
      <c r="D250" t="inlineStr">
        <is>
          <t>SÖDERMANLANDS LÄN</t>
        </is>
      </c>
      <c r="E250" t="inlineStr">
        <is>
          <t>GNESTA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10662-2024</t>
        </is>
      </c>
      <c r="B251" s="1" t="n">
        <v>45369</v>
      </c>
      <c r="C251" s="1" t="n">
        <v>46010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62912-2023</t>
        </is>
      </c>
      <c r="B252" s="1" t="n">
        <v>45272.45587962963</v>
      </c>
      <c r="C252" s="1" t="n">
        <v>46010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5-2023</t>
        </is>
      </c>
      <c r="B253" s="1" t="n">
        <v>44927</v>
      </c>
      <c r="C253" s="1" t="n">
        <v>46010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22667-2023</t>
        </is>
      </c>
      <c r="B254" s="1" t="n">
        <v>45071.63167824074</v>
      </c>
      <c r="C254" s="1" t="n">
        <v>46010</v>
      </c>
      <c r="D254" t="inlineStr">
        <is>
          <t>SÖDERMANLANDS LÄN</t>
        </is>
      </c>
      <c r="E254" t="inlineStr">
        <is>
          <t>GNESTA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62503-2025</t>
        </is>
      </c>
      <c r="B255" s="1" t="n">
        <v>46007.59125</v>
      </c>
      <c r="C255" s="1" t="n">
        <v>46010</v>
      </c>
      <c r="D255" t="inlineStr">
        <is>
          <t>SÖDERMANLANDS LÄN</t>
        </is>
      </c>
      <c r="E255" t="inlineStr">
        <is>
          <t>GNESTA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57014-2024</t>
        </is>
      </c>
      <c r="B256" s="1" t="n">
        <v>45628</v>
      </c>
      <c r="C256" s="1" t="n">
        <v>46010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65000-2023</t>
        </is>
      </c>
      <c r="B257" s="1" t="n">
        <v>45286</v>
      </c>
      <c r="C257" s="1" t="n">
        <v>46010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54140-2025</t>
        </is>
      </c>
      <c r="B258" s="1" t="n">
        <v>45964.47696759259</v>
      </c>
      <c r="C258" s="1" t="n">
        <v>46010</v>
      </c>
      <c r="D258" t="inlineStr">
        <is>
          <t>SÖDERMANLANDS LÄN</t>
        </is>
      </c>
      <c r="E258" t="inlineStr">
        <is>
          <t>GNESTA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48738-2021</t>
        </is>
      </c>
      <c r="B259" s="1" t="n">
        <v>44452</v>
      </c>
      <c r="C259" s="1" t="n">
        <v>46010</v>
      </c>
      <c r="D259" t="inlineStr">
        <is>
          <t>SÖDERMANLANDS LÄN</t>
        </is>
      </c>
      <c r="E259" t="inlineStr">
        <is>
          <t>GNESTA</t>
        </is>
      </c>
      <c r="F259" t="inlineStr">
        <is>
          <t>Kyrkan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62071-2025</t>
        </is>
      </c>
      <c r="B260" s="1" t="n">
        <v>46006.36146990741</v>
      </c>
      <c r="C260" s="1" t="n">
        <v>46010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46010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62740-2025</t>
        </is>
      </c>
      <c r="B262" s="1" t="n">
        <v>46008.57366898148</v>
      </c>
      <c r="C262" s="1" t="n">
        <v>46010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46010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46010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46010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46010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46010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46010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46010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46010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46010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46010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46010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46010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46010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46010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46010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46010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46010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46010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46010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46010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46010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46010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46010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46010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46010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46010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46010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46010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46010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46010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46010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46010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46010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46010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46010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46010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46010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46010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46010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46010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46010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46010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46010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46010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46010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46010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46010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46010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46010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46010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46010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46010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46010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46010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46010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46010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46010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46010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46010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46010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9575-2021</t>
        </is>
      </c>
      <c r="B323" s="1" t="n">
        <v>44251</v>
      </c>
      <c r="C323" s="1" t="n">
        <v>46010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46010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46010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46010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46010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11746-2023</t>
        </is>
      </c>
      <c r="B328" s="1" t="n">
        <v>44994</v>
      </c>
      <c r="C328" s="1" t="n">
        <v>46010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25915-2024</t>
        </is>
      </c>
      <c r="B329" s="1" t="n">
        <v>45467.59578703704</v>
      </c>
      <c r="C329" s="1" t="n">
        <v>46010</v>
      </c>
      <c r="D329" t="inlineStr">
        <is>
          <t>SÖDERMANLANDS LÄN</t>
        </is>
      </c>
      <c r="E329" t="inlineStr">
        <is>
          <t>GNESTA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64-2024</t>
        </is>
      </c>
      <c r="B330" s="1" t="n">
        <v>45293</v>
      </c>
      <c r="C330" s="1" t="n">
        <v>46010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55864-2023</t>
        </is>
      </c>
      <c r="B331" s="1" t="n">
        <v>45239</v>
      </c>
      <c r="C331" s="1" t="n">
        <v>46010</v>
      </c>
      <c r="D331" t="inlineStr">
        <is>
          <t>SÖDERMANLANDS LÄN</t>
        </is>
      </c>
      <c r="E331" t="inlineStr">
        <is>
          <t>GNESTA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2025-12-19T10:35:56Z</dcterms:created>
  <dcterms:modified xmlns:dcterms="http://purl.org/dc/terms/" xmlns:xsi="http://www.w3.org/2001/XMLSchema-instance" xsi:type="dcterms:W3CDTF">2025-12-19T10:35:56Z</dcterms:modified>
</cp:coreProperties>
</file>