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45783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45783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45783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45783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45783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45783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45783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45783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45783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45783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45783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45783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45783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45783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45783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45783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45783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45783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45783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45783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45783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45783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45783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45783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45783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45783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45783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45783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45783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45783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45783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45783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45577-2019</t>
        </is>
      </c>
      <c r="B34" s="1" t="n">
        <v>43716</v>
      </c>
      <c r="C34" s="1" t="n">
        <v>45783</v>
      </c>
      <c r="D34" t="inlineStr">
        <is>
          <t>SÖDERMANLANDS LÄN</t>
        </is>
      </c>
      <c r="E34" t="inlineStr">
        <is>
          <t>GNESTA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45577-2019 artfynd.xlsx", "A 45577-2019")</f>
        <v/>
      </c>
      <c r="T34">
        <f>HYPERLINK("https://klasma.github.io/Logging_0461/kartor/A 45577-2019 karta.png", "A 45577-2019")</f>
        <v/>
      </c>
      <c r="V34">
        <f>HYPERLINK("https://klasma.github.io/Logging_0461/klagomål/A 45577-2019 FSC-klagomål.docx", "A 45577-2019")</f>
        <v/>
      </c>
      <c r="W34">
        <f>HYPERLINK("https://klasma.github.io/Logging_0461/klagomålsmail/A 45577-2019 FSC-klagomål mail.docx", "A 45577-2019")</f>
        <v/>
      </c>
      <c r="X34">
        <f>HYPERLINK("https://klasma.github.io/Logging_0461/tillsyn/A 45577-2019 tillsynsbegäran.docx", "A 45577-2019")</f>
        <v/>
      </c>
      <c r="Y34">
        <f>HYPERLINK("https://klasma.github.io/Logging_0461/tillsynsmail/A 45577-2019 tillsynsbegäran mail.docx", "A 45577-2019")</f>
        <v/>
      </c>
    </row>
    <row r="35" ht="15" customHeight="1">
      <c r="A35" t="inlineStr">
        <is>
          <t>A 51437-2019</t>
        </is>
      </c>
      <c r="B35" s="1" t="n">
        <v>43740</v>
      </c>
      <c r="C35" s="1" t="n">
        <v>45783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51437-2019 artfynd.xlsx", "A 51437-2019")</f>
        <v/>
      </c>
      <c r="T35">
        <f>HYPERLINK("https://klasma.github.io/Logging_0461/kartor/A 51437-2019 karta.png", "A 51437-2019")</f>
        <v/>
      </c>
      <c r="V35">
        <f>HYPERLINK("https://klasma.github.io/Logging_0461/klagomål/A 51437-2019 FSC-klagomål.docx", "A 51437-2019")</f>
        <v/>
      </c>
      <c r="W35">
        <f>HYPERLINK("https://klasma.github.io/Logging_0461/klagomålsmail/A 51437-2019 FSC-klagomål mail.docx", "A 51437-2019")</f>
        <v/>
      </c>
      <c r="X35">
        <f>HYPERLINK("https://klasma.github.io/Logging_0461/tillsyn/A 51437-2019 tillsynsbegäran.docx", "A 51437-2019")</f>
        <v/>
      </c>
      <c r="Y35">
        <f>HYPERLINK("https://klasma.github.io/Logging_0461/tillsynsmail/A 51437-2019 tillsynsbegäran mail.docx", "A 51437-2019")</f>
        <v/>
      </c>
    </row>
    <row r="36" ht="15" customHeight="1">
      <c r="A36" t="inlineStr">
        <is>
          <t>A 13747-2020</t>
        </is>
      </c>
      <c r="B36" s="1" t="n">
        <v>43896</v>
      </c>
      <c r="C36" s="1" t="n">
        <v>45783</v>
      </c>
      <c r="D36" t="inlineStr">
        <is>
          <t>SÖDERMANLANDS LÄN</t>
        </is>
      </c>
      <c r="E36" t="inlineStr">
        <is>
          <t>GNESTA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13747-2020 artfynd.xlsx", "A 13747-2020")</f>
        <v/>
      </c>
      <c r="T36">
        <f>HYPERLINK("https://klasma.github.io/Logging_0461/kartor/A 13747-2020 karta.png", "A 13747-2020")</f>
        <v/>
      </c>
      <c r="V36">
        <f>HYPERLINK("https://klasma.github.io/Logging_0461/klagomål/A 13747-2020 FSC-klagomål.docx", "A 13747-2020")</f>
        <v/>
      </c>
      <c r="W36">
        <f>HYPERLINK("https://klasma.github.io/Logging_0461/klagomålsmail/A 13747-2020 FSC-klagomål mail.docx", "A 13747-2020")</f>
        <v/>
      </c>
      <c r="X36">
        <f>HYPERLINK("https://klasma.github.io/Logging_0461/tillsyn/A 13747-2020 tillsynsbegäran.docx", "A 13747-2020")</f>
        <v/>
      </c>
      <c r="Y36">
        <f>HYPERLINK("https://klasma.github.io/Logging_0461/tillsynsmail/A 13747-2020 tillsynsbegäran mail.docx", "A 13747-2020")</f>
        <v/>
      </c>
    </row>
    <row r="37" ht="15" customHeight="1">
      <c r="A37" t="inlineStr">
        <is>
          <t>A 51080-2020</t>
        </is>
      </c>
      <c r="B37" s="1" t="n">
        <v>44112</v>
      </c>
      <c r="C37" s="1" t="n">
        <v>45783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51080-2020 artfynd.xlsx", "A 51080-2020")</f>
        <v/>
      </c>
      <c r="T37">
        <f>HYPERLINK("https://klasma.github.io/Logging_0461/kartor/A 51080-2020 karta.png", "A 51080-2020")</f>
        <v/>
      </c>
      <c r="V37">
        <f>HYPERLINK("https://klasma.github.io/Logging_0461/klagomål/A 51080-2020 FSC-klagomål.docx", "A 51080-2020")</f>
        <v/>
      </c>
      <c r="W37">
        <f>HYPERLINK("https://klasma.github.io/Logging_0461/klagomålsmail/A 51080-2020 FSC-klagomål mail.docx", "A 51080-2020")</f>
        <v/>
      </c>
      <c r="X37">
        <f>HYPERLINK("https://klasma.github.io/Logging_0461/tillsyn/A 51080-2020 tillsynsbegäran.docx", "A 51080-2020")</f>
        <v/>
      </c>
      <c r="Y37">
        <f>HYPERLINK("https://klasma.github.io/Logging_0461/tillsynsmail/A 51080-2020 tillsynsbegäran mail.docx", "A 51080-2020")</f>
        <v/>
      </c>
    </row>
    <row r="38" ht="15" customHeight="1">
      <c r="A38" t="inlineStr">
        <is>
          <t>A 11150-2021</t>
        </is>
      </c>
      <c r="B38" s="1" t="n">
        <v>44261</v>
      </c>
      <c r="C38" s="1" t="n">
        <v>45783</v>
      </c>
      <c r="D38" t="inlineStr">
        <is>
          <t>SÖDERMANLANDS LÄN</t>
        </is>
      </c>
      <c r="E38" t="inlineStr">
        <is>
          <t>GNESTA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11150-2021 artfynd.xlsx", "A 11150-2021")</f>
        <v/>
      </c>
      <c r="T38">
        <f>HYPERLINK("https://klasma.github.io/Logging_0461/kartor/A 11150-2021 karta.png", "A 11150-2021")</f>
        <v/>
      </c>
      <c r="V38">
        <f>HYPERLINK("https://klasma.github.io/Logging_0461/klagomål/A 11150-2021 FSC-klagomål.docx", "A 11150-2021")</f>
        <v/>
      </c>
      <c r="W38">
        <f>HYPERLINK("https://klasma.github.io/Logging_0461/klagomålsmail/A 11150-2021 FSC-klagomål mail.docx", "A 11150-2021")</f>
        <v/>
      </c>
      <c r="X38">
        <f>HYPERLINK("https://klasma.github.io/Logging_0461/tillsyn/A 11150-2021 tillsynsbegäran.docx", "A 11150-2021")</f>
        <v/>
      </c>
      <c r="Y38">
        <f>HYPERLINK("https://klasma.github.io/Logging_0461/tillsynsmail/A 11150-2021 tillsynsbegäran mail.docx", "A 11150-2021")</f>
        <v/>
      </c>
    </row>
    <row r="39" ht="15" customHeight="1">
      <c r="A39" t="inlineStr">
        <is>
          <t>A 16826-2021</t>
        </is>
      </c>
      <c r="B39" s="1" t="n">
        <v>44295</v>
      </c>
      <c r="C39" s="1" t="n">
        <v>45783</v>
      </c>
      <c r="D39" t="inlineStr">
        <is>
          <t>SÖDERMANLANDS LÄN</t>
        </is>
      </c>
      <c r="E39" t="inlineStr">
        <is>
          <t>GNESTA</t>
        </is>
      </c>
      <c r="G39" t="n">
        <v>13.9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HYPERLINK("https://klasma.github.io/Logging_0461/artfynd/A 16826-2021 artfynd.xlsx", "A 16826-2021")</f>
        <v/>
      </c>
      <c r="T39">
        <f>HYPERLINK("https://klasma.github.io/Logging_0461/kartor/A 16826-2021 karta.png", "A 16826-2021")</f>
        <v/>
      </c>
      <c r="V39">
        <f>HYPERLINK("https://klasma.github.io/Logging_0461/klagomål/A 16826-2021 FSC-klagomål.docx", "A 16826-2021")</f>
        <v/>
      </c>
      <c r="W39">
        <f>HYPERLINK("https://klasma.github.io/Logging_0461/klagomålsmail/A 16826-2021 FSC-klagomål mail.docx", "A 16826-2021")</f>
        <v/>
      </c>
      <c r="X39">
        <f>HYPERLINK("https://klasma.github.io/Logging_0461/tillsyn/A 16826-2021 tillsynsbegäran.docx", "A 16826-2021")</f>
        <v/>
      </c>
      <c r="Y39">
        <f>HYPERLINK("https://klasma.github.io/Logging_0461/tillsynsmail/A 16826-2021 tillsynsbegäran mail.docx", "A 16826-2021")</f>
        <v/>
      </c>
    </row>
    <row r="40" ht="15" customHeight="1">
      <c r="A40" t="inlineStr">
        <is>
          <t>A 22712-2021</t>
        </is>
      </c>
      <c r="B40" s="1" t="n">
        <v>44327</v>
      </c>
      <c r="C40" s="1" t="n">
        <v>45783</v>
      </c>
      <c r="D40" t="inlineStr">
        <is>
          <t>SÖDERMANLANDS LÄN</t>
        </is>
      </c>
      <c r="E40" t="inlineStr">
        <is>
          <t>GNESTA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Svedjenäva</t>
        </is>
      </c>
      <c r="S40">
        <f>HYPERLINK("https://klasma.github.io/Logging_0461/artfynd/A 22712-2021 artfynd.xlsx", "A 22712-2021")</f>
        <v/>
      </c>
      <c r="T40">
        <f>HYPERLINK("https://klasma.github.io/Logging_0461/kartor/A 22712-2021 karta.png", "A 22712-2021")</f>
        <v/>
      </c>
      <c r="V40">
        <f>HYPERLINK("https://klasma.github.io/Logging_0461/klagomål/A 22712-2021 FSC-klagomål.docx", "A 22712-2021")</f>
        <v/>
      </c>
      <c r="W40">
        <f>HYPERLINK("https://klasma.github.io/Logging_0461/klagomålsmail/A 22712-2021 FSC-klagomål mail.docx", "A 22712-2021")</f>
        <v/>
      </c>
      <c r="X40">
        <f>HYPERLINK("https://klasma.github.io/Logging_0461/tillsyn/A 22712-2021 tillsynsbegäran.docx", "A 22712-2021")</f>
        <v/>
      </c>
      <c r="Y40">
        <f>HYPERLINK("https://klasma.github.io/Logging_0461/tillsynsmail/A 22712-2021 tillsynsbegäran mail.docx", "A 22712-2021")</f>
        <v/>
      </c>
    </row>
    <row r="41" ht="15" customHeight="1">
      <c r="A41" t="inlineStr">
        <is>
          <t>A 2012-2022</t>
        </is>
      </c>
      <c r="B41" s="1" t="n">
        <v>44575</v>
      </c>
      <c r="C41" s="1" t="n">
        <v>45783</v>
      </c>
      <c r="D41" t="inlineStr">
        <is>
          <t>SÖDERMANLANDS LÄN</t>
        </is>
      </c>
      <c r="E41" t="inlineStr">
        <is>
          <t>GNESTA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HYPERLINK("https://klasma.github.io/Logging_0461/artfynd/A 2012-2022 artfynd.xlsx", "A 2012-2022")</f>
        <v/>
      </c>
      <c r="T41">
        <f>HYPERLINK("https://klasma.github.io/Logging_0461/kartor/A 2012-2022 karta.png", "A 2012-2022")</f>
        <v/>
      </c>
      <c r="V41">
        <f>HYPERLINK("https://klasma.github.io/Logging_0461/klagomål/A 2012-2022 FSC-klagomål.docx", "A 2012-2022")</f>
        <v/>
      </c>
      <c r="W41">
        <f>HYPERLINK("https://klasma.github.io/Logging_0461/klagomålsmail/A 2012-2022 FSC-klagomål mail.docx", "A 2012-2022")</f>
        <v/>
      </c>
      <c r="X41">
        <f>HYPERLINK("https://klasma.github.io/Logging_0461/tillsyn/A 2012-2022 tillsynsbegäran.docx", "A 2012-2022")</f>
        <v/>
      </c>
      <c r="Y41">
        <f>HYPERLINK("https://klasma.github.io/Logging_0461/tillsynsmail/A 2012-2022 tillsynsbegäran mail.docx", "A 2012-2022")</f>
        <v/>
      </c>
    </row>
    <row r="42" ht="15" customHeight="1">
      <c r="A42" t="inlineStr">
        <is>
          <t>A 32252-2022</t>
        </is>
      </c>
      <c r="B42" s="1" t="n">
        <v>44781</v>
      </c>
      <c r="C42" s="1" t="n">
        <v>45783</v>
      </c>
      <c r="D42" t="inlineStr">
        <is>
          <t>SÖDERMANLANDS LÄN</t>
        </is>
      </c>
      <c r="E42" t="inlineStr">
        <is>
          <t>GNESTA</t>
        </is>
      </c>
      <c r="G42" t="n">
        <v>17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HYPERLINK("https://klasma.github.io/Logging_0461/artfynd/A 32252-2022 artfynd.xlsx", "A 32252-2022")</f>
        <v/>
      </c>
      <c r="T42">
        <f>HYPERLINK("https://klasma.github.io/Logging_0461/kartor/A 32252-2022 karta.png", "A 32252-2022")</f>
        <v/>
      </c>
      <c r="V42">
        <f>HYPERLINK("https://klasma.github.io/Logging_0461/klagomål/A 32252-2022 FSC-klagomål.docx", "A 32252-2022")</f>
        <v/>
      </c>
      <c r="W42">
        <f>HYPERLINK("https://klasma.github.io/Logging_0461/klagomålsmail/A 32252-2022 FSC-klagomål mail.docx", "A 32252-2022")</f>
        <v/>
      </c>
      <c r="X42">
        <f>HYPERLINK("https://klasma.github.io/Logging_0461/tillsyn/A 32252-2022 tillsynsbegäran.docx", "A 32252-2022")</f>
        <v/>
      </c>
      <c r="Y42">
        <f>HYPERLINK("https://klasma.github.io/Logging_0461/tillsynsmail/A 32252-2022 tillsynsbegäran mail.docx", "A 32252-2022")</f>
        <v/>
      </c>
    </row>
    <row r="43" ht="15" customHeight="1">
      <c r="A43" t="inlineStr">
        <is>
          <t>A 33825-2022</t>
        </is>
      </c>
      <c r="B43" s="1" t="n">
        <v>44790</v>
      </c>
      <c r="C43" s="1" t="n">
        <v>45783</v>
      </c>
      <c r="D43" t="inlineStr">
        <is>
          <t>SÖDERMANLANDS LÄN</t>
        </is>
      </c>
      <c r="E43" t="inlineStr">
        <is>
          <t>GNESTA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33825-2022 artfynd.xlsx", "A 33825-2022")</f>
        <v/>
      </c>
      <c r="T43">
        <f>HYPERLINK("https://klasma.github.io/Logging_0461/kartor/A 33825-2022 karta.png", "A 33825-2022")</f>
        <v/>
      </c>
      <c r="V43">
        <f>HYPERLINK("https://klasma.github.io/Logging_0461/klagomål/A 33825-2022 FSC-klagomål.docx", "A 33825-2022")</f>
        <v/>
      </c>
      <c r="W43">
        <f>HYPERLINK("https://klasma.github.io/Logging_0461/klagomålsmail/A 33825-2022 FSC-klagomål mail.docx", "A 33825-2022")</f>
        <v/>
      </c>
      <c r="X43">
        <f>HYPERLINK("https://klasma.github.io/Logging_0461/tillsyn/A 33825-2022 tillsynsbegäran.docx", "A 33825-2022")</f>
        <v/>
      </c>
      <c r="Y43">
        <f>HYPERLINK("https://klasma.github.io/Logging_0461/tillsynsmail/A 33825-2022 tillsynsbegäran mail.docx", "A 33825-2022")</f>
        <v/>
      </c>
    </row>
    <row r="44" ht="15" customHeight="1">
      <c r="A44" t="inlineStr">
        <is>
          <t>A 34029-2022</t>
        </is>
      </c>
      <c r="B44" s="1" t="n">
        <v>44791</v>
      </c>
      <c r="C44" s="1" t="n">
        <v>45783</v>
      </c>
      <c r="D44" t="inlineStr">
        <is>
          <t>SÖDERMANLANDS LÄN</t>
        </is>
      </c>
      <c r="E44" t="inlineStr">
        <is>
          <t>GNESTA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HYPERLINK("https://klasma.github.io/Logging_0461/artfynd/A 34029-2022 artfynd.xlsx", "A 34029-2022")</f>
        <v/>
      </c>
      <c r="T44">
        <f>HYPERLINK("https://klasma.github.io/Logging_0461/kartor/A 34029-2022 karta.png", "A 34029-2022")</f>
        <v/>
      </c>
      <c r="V44">
        <f>HYPERLINK("https://klasma.github.io/Logging_0461/klagomål/A 34029-2022 FSC-klagomål.docx", "A 34029-2022")</f>
        <v/>
      </c>
      <c r="W44">
        <f>HYPERLINK("https://klasma.github.io/Logging_0461/klagomålsmail/A 34029-2022 FSC-klagomål mail.docx", "A 34029-2022")</f>
        <v/>
      </c>
      <c r="X44">
        <f>HYPERLINK("https://klasma.github.io/Logging_0461/tillsyn/A 34029-2022 tillsynsbegäran.docx", "A 34029-2022")</f>
        <v/>
      </c>
      <c r="Y44">
        <f>HYPERLINK("https://klasma.github.io/Logging_0461/tillsynsmail/A 34029-2022 tillsynsbegäran mail.docx", "A 34029-2022")</f>
        <v/>
      </c>
    </row>
    <row r="45" ht="15" customHeight="1">
      <c r="A45" t="inlineStr">
        <is>
          <t>A 42227-2022</t>
        </is>
      </c>
      <c r="B45" s="1" t="n">
        <v>44830</v>
      </c>
      <c r="C45" s="1" t="n">
        <v>45783</v>
      </c>
      <c r="D45" t="inlineStr">
        <is>
          <t>SÖDERMANLANDS LÄN</t>
        </is>
      </c>
      <c r="E45" t="inlineStr">
        <is>
          <t>GNESTA</t>
        </is>
      </c>
      <c r="G45" t="n">
        <v>4.8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Sotlav</t>
        </is>
      </c>
      <c r="S45">
        <f>HYPERLINK("https://klasma.github.io/Logging_0461/artfynd/A 42227-2022 artfynd.xlsx", "A 42227-2022")</f>
        <v/>
      </c>
      <c r="T45">
        <f>HYPERLINK("https://klasma.github.io/Logging_0461/kartor/A 42227-2022 karta.png", "A 42227-2022")</f>
        <v/>
      </c>
      <c r="V45">
        <f>HYPERLINK("https://klasma.github.io/Logging_0461/klagomål/A 42227-2022 FSC-klagomål.docx", "A 42227-2022")</f>
        <v/>
      </c>
      <c r="W45">
        <f>HYPERLINK("https://klasma.github.io/Logging_0461/klagomålsmail/A 42227-2022 FSC-klagomål mail.docx", "A 42227-2022")</f>
        <v/>
      </c>
      <c r="X45">
        <f>HYPERLINK("https://klasma.github.io/Logging_0461/tillsyn/A 42227-2022 tillsynsbegäran.docx", "A 42227-2022")</f>
        <v/>
      </c>
      <c r="Y45">
        <f>HYPERLINK("https://klasma.github.io/Logging_0461/tillsynsmail/A 42227-2022 tillsynsbegäran mail.docx", "A 42227-2022")</f>
        <v/>
      </c>
    </row>
    <row r="46" ht="15" customHeight="1">
      <c r="A46" t="inlineStr">
        <is>
          <t>A 44782-2022</t>
        </is>
      </c>
      <c r="B46" s="1" t="n">
        <v>44839</v>
      </c>
      <c r="C46" s="1" t="n">
        <v>45783</v>
      </c>
      <c r="D46" t="inlineStr">
        <is>
          <t>SÖDERMANLANDS LÄN</t>
        </is>
      </c>
      <c r="E46" t="inlineStr">
        <is>
          <t>GNESTA</t>
        </is>
      </c>
      <c r="G46" t="n">
        <v>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Bredbrämad bastardsvärmare</t>
        </is>
      </c>
      <c r="S46">
        <f>HYPERLINK("https://klasma.github.io/Logging_0461/artfynd/A 44782-2022 artfynd.xlsx", "A 44782-2022")</f>
        <v/>
      </c>
      <c r="T46">
        <f>HYPERLINK("https://klasma.github.io/Logging_0461/kartor/A 44782-2022 karta.png", "A 44782-2022")</f>
        <v/>
      </c>
      <c r="V46">
        <f>HYPERLINK("https://klasma.github.io/Logging_0461/klagomål/A 44782-2022 FSC-klagomål.docx", "A 44782-2022")</f>
        <v/>
      </c>
      <c r="W46">
        <f>HYPERLINK("https://klasma.github.io/Logging_0461/klagomålsmail/A 44782-2022 FSC-klagomål mail.docx", "A 44782-2022")</f>
        <v/>
      </c>
      <c r="X46">
        <f>HYPERLINK("https://klasma.github.io/Logging_0461/tillsyn/A 44782-2022 tillsynsbegäran.docx", "A 44782-2022")</f>
        <v/>
      </c>
      <c r="Y46">
        <f>HYPERLINK("https://klasma.github.io/Logging_0461/tillsynsmail/A 44782-2022 tillsynsbegäran mail.docx", "A 44782-2022")</f>
        <v/>
      </c>
    </row>
    <row r="47" ht="15" customHeight="1">
      <c r="A47" t="inlineStr">
        <is>
          <t>A 45656-2022</t>
        </is>
      </c>
      <c r="B47" s="1" t="n">
        <v>44841</v>
      </c>
      <c r="C47" s="1" t="n">
        <v>45783</v>
      </c>
      <c r="D47" t="inlineStr">
        <is>
          <t>SÖDERMANLANDS LÄN</t>
        </is>
      </c>
      <c r="E47" t="inlineStr">
        <is>
          <t>GNESTA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HYPERLINK("https://klasma.github.io/Logging_0461/artfynd/A 45656-2022 artfynd.xlsx", "A 45656-2022")</f>
        <v/>
      </c>
      <c r="T47">
        <f>HYPERLINK("https://klasma.github.io/Logging_0461/kartor/A 45656-2022 karta.png", "A 45656-2022")</f>
        <v/>
      </c>
      <c r="V47">
        <f>HYPERLINK("https://klasma.github.io/Logging_0461/klagomål/A 45656-2022 FSC-klagomål.docx", "A 45656-2022")</f>
        <v/>
      </c>
      <c r="W47">
        <f>HYPERLINK("https://klasma.github.io/Logging_0461/klagomålsmail/A 45656-2022 FSC-klagomål mail.docx", "A 45656-2022")</f>
        <v/>
      </c>
      <c r="X47">
        <f>HYPERLINK("https://klasma.github.io/Logging_0461/tillsyn/A 45656-2022 tillsynsbegäran.docx", "A 45656-2022")</f>
        <v/>
      </c>
      <c r="Y47">
        <f>HYPERLINK("https://klasma.github.io/Logging_0461/tillsynsmail/A 45656-2022 tillsynsbegäran mail.docx", "A 45656-2022")</f>
        <v/>
      </c>
    </row>
    <row r="48" ht="15" customHeight="1">
      <c r="A48" t="inlineStr">
        <is>
          <t>A 49460-2022</t>
        </is>
      </c>
      <c r="B48" s="1" t="n">
        <v>44861</v>
      </c>
      <c r="C48" s="1" t="n">
        <v>45783</v>
      </c>
      <c r="D48" t="inlineStr">
        <is>
          <t>SÖDERMANLANDS LÄN</t>
        </is>
      </c>
      <c r="E48" t="inlineStr">
        <is>
          <t>GNESTA</t>
        </is>
      </c>
      <c r="G48" t="n">
        <v>8.5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HYPERLINK("https://klasma.github.io/Logging_0461/artfynd/A 49460-2022 artfynd.xlsx", "A 49460-2022")</f>
        <v/>
      </c>
      <c r="T48">
        <f>HYPERLINK("https://klasma.github.io/Logging_0461/kartor/A 49460-2022 karta.png", "A 49460-2022")</f>
        <v/>
      </c>
      <c r="V48">
        <f>HYPERLINK("https://klasma.github.io/Logging_0461/klagomål/A 49460-2022 FSC-klagomål.docx", "A 49460-2022")</f>
        <v/>
      </c>
      <c r="W48">
        <f>HYPERLINK("https://klasma.github.io/Logging_0461/klagomålsmail/A 49460-2022 FSC-klagomål mail.docx", "A 49460-2022")</f>
        <v/>
      </c>
      <c r="X48">
        <f>HYPERLINK("https://klasma.github.io/Logging_0461/tillsyn/A 49460-2022 tillsynsbegäran.docx", "A 49460-2022")</f>
        <v/>
      </c>
      <c r="Y48">
        <f>HYPERLINK("https://klasma.github.io/Logging_0461/tillsynsmail/A 49460-2022 tillsynsbegäran mail.docx", "A 49460-2022")</f>
        <v/>
      </c>
    </row>
    <row r="49" ht="15" customHeight="1">
      <c r="A49" t="inlineStr">
        <is>
          <t>A 49442-2022</t>
        </is>
      </c>
      <c r="B49" s="1" t="n">
        <v>44861</v>
      </c>
      <c r="C49" s="1" t="n">
        <v>45783</v>
      </c>
      <c r="D49" t="inlineStr">
        <is>
          <t>SÖDERMANLANDS LÄN</t>
        </is>
      </c>
      <c r="E49" t="inlineStr">
        <is>
          <t>GNESTA</t>
        </is>
      </c>
      <c r="G49" t="n">
        <v>3.6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Streckvaxskivling</t>
        </is>
      </c>
      <c r="S49">
        <f>HYPERLINK("https://klasma.github.io/Logging_0461/artfynd/A 49442-2022 artfynd.xlsx", "A 49442-2022")</f>
        <v/>
      </c>
      <c r="T49">
        <f>HYPERLINK("https://klasma.github.io/Logging_0461/kartor/A 49442-2022 karta.png", "A 49442-2022")</f>
        <v/>
      </c>
      <c r="V49">
        <f>HYPERLINK("https://klasma.github.io/Logging_0461/klagomål/A 49442-2022 FSC-klagomål.docx", "A 49442-2022")</f>
        <v/>
      </c>
      <c r="W49">
        <f>HYPERLINK("https://klasma.github.io/Logging_0461/klagomålsmail/A 49442-2022 FSC-klagomål mail.docx", "A 49442-2022")</f>
        <v/>
      </c>
      <c r="X49">
        <f>HYPERLINK("https://klasma.github.io/Logging_0461/tillsyn/A 49442-2022 tillsynsbegäran.docx", "A 49442-2022")</f>
        <v/>
      </c>
      <c r="Y49">
        <f>HYPERLINK("https://klasma.github.io/Logging_0461/tillsynsmail/A 49442-2022 tillsynsbegäran mail.docx", "A 49442-2022")</f>
        <v/>
      </c>
    </row>
    <row r="50" ht="15" customHeight="1">
      <c r="A50" t="inlineStr">
        <is>
          <t>A 56791-2022</t>
        </is>
      </c>
      <c r="B50" s="1" t="n">
        <v>44894</v>
      </c>
      <c r="C50" s="1" t="n">
        <v>45783</v>
      </c>
      <c r="D50" t="inlineStr">
        <is>
          <t>SÖDERMANLANDS LÄN</t>
        </is>
      </c>
      <c r="E50" t="inlineStr">
        <is>
          <t>GNESTA</t>
        </is>
      </c>
      <c r="G50" t="n">
        <v>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HYPERLINK("https://klasma.github.io/Logging_0461/artfynd/A 56791-2022 artfynd.xlsx", "A 56791-2022")</f>
        <v/>
      </c>
      <c r="T50">
        <f>HYPERLINK("https://klasma.github.io/Logging_0461/kartor/A 56791-2022 karta.png", "A 56791-2022")</f>
        <v/>
      </c>
      <c r="V50">
        <f>HYPERLINK("https://klasma.github.io/Logging_0461/klagomål/A 56791-2022 FSC-klagomål.docx", "A 56791-2022")</f>
        <v/>
      </c>
      <c r="W50">
        <f>HYPERLINK("https://klasma.github.io/Logging_0461/klagomålsmail/A 56791-2022 FSC-klagomål mail.docx", "A 56791-2022")</f>
        <v/>
      </c>
      <c r="X50">
        <f>HYPERLINK("https://klasma.github.io/Logging_0461/tillsyn/A 56791-2022 tillsynsbegäran.docx", "A 56791-2022")</f>
        <v/>
      </c>
      <c r="Y50">
        <f>HYPERLINK("https://klasma.github.io/Logging_0461/tillsynsmail/A 56791-2022 tillsynsbegäran mail.docx", "A 56791-2022")</f>
        <v/>
      </c>
    </row>
    <row r="51" ht="15" customHeight="1">
      <c r="A51" t="inlineStr">
        <is>
          <t>A 61986-2022</t>
        </is>
      </c>
      <c r="B51" s="1" t="n">
        <v>44918</v>
      </c>
      <c r="C51" s="1" t="n">
        <v>45783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7.5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HYPERLINK("https://klasma.github.io/Logging_0461/artfynd/A 61986-2022 artfynd.xlsx", "A 61986-2022")</f>
        <v/>
      </c>
      <c r="T51">
        <f>HYPERLINK("https://klasma.github.io/Logging_0461/kartor/A 61986-2022 karta.png", "A 61986-2022")</f>
        <v/>
      </c>
      <c r="V51">
        <f>HYPERLINK("https://klasma.github.io/Logging_0461/klagomål/A 61986-2022 FSC-klagomål.docx", "A 61986-2022")</f>
        <v/>
      </c>
      <c r="W51">
        <f>HYPERLINK("https://klasma.github.io/Logging_0461/klagomålsmail/A 61986-2022 FSC-klagomål mail.docx", "A 61986-2022")</f>
        <v/>
      </c>
      <c r="X51">
        <f>HYPERLINK("https://klasma.github.io/Logging_0461/tillsyn/A 61986-2022 tillsynsbegäran.docx", "A 61986-2022")</f>
        <v/>
      </c>
      <c r="Y51">
        <f>HYPERLINK("https://klasma.github.io/Logging_0461/tillsynsmail/A 61986-2022 tillsynsbegäran mail.docx", "A 61986-2022")</f>
        <v/>
      </c>
    </row>
    <row r="52" ht="15" customHeight="1">
      <c r="A52" t="inlineStr">
        <is>
          <t>A 62007-2022</t>
        </is>
      </c>
      <c r="B52" s="1" t="n">
        <v>44918</v>
      </c>
      <c r="C52" s="1" t="n">
        <v>45783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HYPERLINK("https://klasma.github.io/Logging_0461/artfynd/A 62007-2022 artfynd.xlsx", "A 62007-2022")</f>
        <v/>
      </c>
      <c r="T52">
        <f>HYPERLINK("https://klasma.github.io/Logging_0461/kartor/A 62007-2022 karta.png", "A 62007-2022")</f>
        <v/>
      </c>
      <c r="V52">
        <f>HYPERLINK("https://klasma.github.io/Logging_0461/klagomål/A 62007-2022 FSC-klagomål.docx", "A 62007-2022")</f>
        <v/>
      </c>
      <c r="W52">
        <f>HYPERLINK("https://klasma.github.io/Logging_0461/klagomålsmail/A 62007-2022 FSC-klagomål mail.docx", "A 62007-2022")</f>
        <v/>
      </c>
      <c r="X52">
        <f>HYPERLINK("https://klasma.github.io/Logging_0461/tillsyn/A 62007-2022 tillsynsbegäran.docx", "A 62007-2022")</f>
        <v/>
      </c>
      <c r="Y52">
        <f>HYPERLINK("https://klasma.github.io/Logging_0461/tillsynsmail/A 62007-2022 tillsynsbegäran mail.docx", "A 62007-2022")</f>
        <v/>
      </c>
    </row>
    <row r="53" ht="15" customHeight="1">
      <c r="A53" t="inlineStr">
        <is>
          <t>A 6395-2023</t>
        </is>
      </c>
      <c r="B53" s="1" t="n">
        <v>44965</v>
      </c>
      <c r="C53" s="1" t="n">
        <v>45783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HYPERLINK("https://klasma.github.io/Logging_0461/artfynd/A 6395-2023 artfynd.xlsx", "A 6395-2023")</f>
        <v/>
      </c>
      <c r="T53">
        <f>HYPERLINK("https://klasma.github.io/Logging_0461/kartor/A 6395-2023 karta.png", "A 6395-2023")</f>
        <v/>
      </c>
      <c r="V53">
        <f>HYPERLINK("https://klasma.github.io/Logging_0461/klagomål/A 6395-2023 FSC-klagomål.docx", "A 6395-2023")</f>
        <v/>
      </c>
      <c r="W53">
        <f>HYPERLINK("https://klasma.github.io/Logging_0461/klagomålsmail/A 6395-2023 FSC-klagomål mail.docx", "A 6395-2023")</f>
        <v/>
      </c>
      <c r="X53">
        <f>HYPERLINK("https://klasma.github.io/Logging_0461/tillsyn/A 6395-2023 tillsynsbegäran.docx", "A 6395-2023")</f>
        <v/>
      </c>
      <c r="Y53">
        <f>HYPERLINK("https://klasma.github.io/Logging_0461/tillsynsmail/A 6395-2023 tillsynsbegäran mail.docx", "A 6395-2023")</f>
        <v/>
      </c>
    </row>
    <row r="54" ht="15" customHeight="1">
      <c r="A54" t="inlineStr">
        <is>
          <t>A 7681-2023</t>
        </is>
      </c>
      <c r="B54" s="1" t="n">
        <v>44972</v>
      </c>
      <c r="C54" s="1" t="n">
        <v>45783</v>
      </c>
      <c r="D54" t="inlineStr">
        <is>
          <t>SÖDERMANLANDS LÄN</t>
        </is>
      </c>
      <c r="E54" t="inlineStr">
        <is>
          <t>GNESTA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HYPERLINK("https://klasma.github.io/Logging_0461/artfynd/A 7681-2023 artfynd.xlsx", "A 7681-2023")</f>
        <v/>
      </c>
      <c r="T54">
        <f>HYPERLINK("https://klasma.github.io/Logging_0461/kartor/A 7681-2023 karta.png", "A 7681-2023")</f>
        <v/>
      </c>
      <c r="V54">
        <f>HYPERLINK("https://klasma.github.io/Logging_0461/klagomål/A 7681-2023 FSC-klagomål.docx", "A 7681-2023")</f>
        <v/>
      </c>
      <c r="W54">
        <f>HYPERLINK("https://klasma.github.io/Logging_0461/klagomålsmail/A 7681-2023 FSC-klagomål mail.docx", "A 7681-2023")</f>
        <v/>
      </c>
      <c r="X54">
        <f>HYPERLINK("https://klasma.github.io/Logging_0461/tillsyn/A 7681-2023 tillsynsbegäran.docx", "A 7681-2023")</f>
        <v/>
      </c>
      <c r="Y54">
        <f>HYPERLINK("https://klasma.github.io/Logging_0461/tillsynsmail/A 7681-2023 tillsynsbegäran mail.docx", "A 7681-2023")</f>
        <v/>
      </c>
    </row>
    <row r="55" ht="15" customHeight="1">
      <c r="A55" t="inlineStr">
        <is>
          <t>A 7661-2023</t>
        </is>
      </c>
      <c r="B55" s="1" t="n">
        <v>44972</v>
      </c>
      <c r="C55" s="1" t="n">
        <v>45783</v>
      </c>
      <c r="D55" t="inlineStr">
        <is>
          <t>SÖDERMANLANDS LÄN</t>
        </is>
      </c>
      <c r="E55" t="inlineStr">
        <is>
          <t>GNESTA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7661-2023 artfynd.xlsx", "A 7661-2023")</f>
        <v/>
      </c>
      <c r="T55">
        <f>HYPERLINK("https://klasma.github.io/Logging_0461/kartor/A 7661-2023 karta.png", "A 7661-2023")</f>
        <v/>
      </c>
      <c r="V55">
        <f>HYPERLINK("https://klasma.github.io/Logging_0461/klagomål/A 7661-2023 FSC-klagomål.docx", "A 7661-2023")</f>
        <v/>
      </c>
      <c r="W55">
        <f>HYPERLINK("https://klasma.github.io/Logging_0461/klagomålsmail/A 7661-2023 FSC-klagomål mail.docx", "A 7661-2023")</f>
        <v/>
      </c>
      <c r="X55">
        <f>HYPERLINK("https://klasma.github.io/Logging_0461/tillsyn/A 7661-2023 tillsynsbegäran.docx", "A 7661-2023")</f>
        <v/>
      </c>
      <c r="Y55">
        <f>HYPERLINK("https://klasma.github.io/Logging_0461/tillsynsmail/A 7661-2023 tillsynsbegäran mail.docx", "A 7661-2023")</f>
        <v/>
      </c>
    </row>
    <row r="56" ht="15" customHeight="1">
      <c r="A56" t="inlineStr">
        <is>
          <t>A 7741-2023</t>
        </is>
      </c>
      <c r="B56" s="1" t="n">
        <v>44973</v>
      </c>
      <c r="C56" s="1" t="n">
        <v>45783</v>
      </c>
      <c r="D56" t="inlineStr">
        <is>
          <t>SÖDERMANLANDS LÄN</t>
        </is>
      </c>
      <c r="E56" t="inlineStr">
        <is>
          <t>GNESTA</t>
        </is>
      </c>
      <c r="G56" t="n">
        <v>3.4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7741-2023 artfynd.xlsx", "A 7741-2023")</f>
        <v/>
      </c>
      <c r="T56">
        <f>HYPERLINK("https://klasma.github.io/Logging_0461/kartor/A 7741-2023 karta.png", "A 7741-2023")</f>
        <v/>
      </c>
      <c r="V56">
        <f>HYPERLINK("https://klasma.github.io/Logging_0461/klagomål/A 7741-2023 FSC-klagomål.docx", "A 7741-2023")</f>
        <v/>
      </c>
      <c r="W56">
        <f>HYPERLINK("https://klasma.github.io/Logging_0461/klagomålsmail/A 7741-2023 FSC-klagomål mail.docx", "A 7741-2023")</f>
        <v/>
      </c>
      <c r="X56">
        <f>HYPERLINK("https://klasma.github.io/Logging_0461/tillsyn/A 7741-2023 tillsynsbegäran.docx", "A 7741-2023")</f>
        <v/>
      </c>
      <c r="Y56">
        <f>HYPERLINK("https://klasma.github.io/Logging_0461/tillsynsmail/A 7741-2023 tillsynsbegäran mail.docx", "A 7741-2023")</f>
        <v/>
      </c>
    </row>
    <row r="57" ht="15" customHeight="1">
      <c r="A57" t="inlineStr">
        <is>
          <t>A 8019-2023</t>
        </is>
      </c>
      <c r="B57" s="1" t="n">
        <v>44973</v>
      </c>
      <c r="C57" s="1" t="n">
        <v>45783</v>
      </c>
      <c r="D57" t="inlineStr">
        <is>
          <t>SÖDERMANLANDS LÄN</t>
        </is>
      </c>
      <c r="E57" t="inlineStr">
        <is>
          <t>GNESTA</t>
        </is>
      </c>
      <c r="G57" t="n">
        <v>3.9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Klasefibbla</t>
        </is>
      </c>
      <c r="S57">
        <f>HYPERLINK("https://klasma.github.io/Logging_0461/artfynd/A 8019-2023 artfynd.xlsx", "A 8019-2023")</f>
        <v/>
      </c>
      <c r="T57">
        <f>HYPERLINK("https://klasma.github.io/Logging_0461/kartor/A 8019-2023 karta.png", "A 8019-2023")</f>
        <v/>
      </c>
      <c r="V57">
        <f>HYPERLINK("https://klasma.github.io/Logging_0461/klagomål/A 8019-2023 FSC-klagomål.docx", "A 8019-2023")</f>
        <v/>
      </c>
      <c r="W57">
        <f>HYPERLINK("https://klasma.github.io/Logging_0461/klagomålsmail/A 8019-2023 FSC-klagomål mail.docx", "A 8019-2023")</f>
        <v/>
      </c>
      <c r="X57">
        <f>HYPERLINK("https://klasma.github.io/Logging_0461/tillsyn/A 8019-2023 tillsynsbegäran.docx", "A 8019-2023")</f>
        <v/>
      </c>
      <c r="Y57">
        <f>HYPERLINK("https://klasma.github.io/Logging_0461/tillsynsmail/A 8019-2023 tillsynsbegäran mail.docx", "A 8019-2023")</f>
        <v/>
      </c>
    </row>
    <row r="58" ht="15" customHeight="1">
      <c r="A58" t="inlineStr">
        <is>
          <t>A 9303-2023</t>
        </is>
      </c>
      <c r="B58" s="1" t="n">
        <v>44980</v>
      </c>
      <c r="C58" s="1" t="n">
        <v>45783</v>
      </c>
      <c r="D58" t="inlineStr">
        <is>
          <t>SÖDERMANLANDS LÄN</t>
        </is>
      </c>
      <c r="E58" t="inlineStr">
        <is>
          <t>GNESTA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Zontaggsvamp</t>
        </is>
      </c>
      <c r="S58">
        <f>HYPERLINK("https://klasma.github.io/Logging_0461/artfynd/A 9303-2023 artfynd.xlsx", "A 9303-2023")</f>
        <v/>
      </c>
      <c r="T58">
        <f>HYPERLINK("https://klasma.github.io/Logging_0461/kartor/A 9303-2023 karta.png", "A 9303-2023")</f>
        <v/>
      </c>
      <c r="V58">
        <f>HYPERLINK("https://klasma.github.io/Logging_0461/klagomål/A 9303-2023 FSC-klagomål.docx", "A 9303-2023")</f>
        <v/>
      </c>
      <c r="W58">
        <f>HYPERLINK("https://klasma.github.io/Logging_0461/klagomålsmail/A 9303-2023 FSC-klagomål mail.docx", "A 9303-2023")</f>
        <v/>
      </c>
      <c r="X58">
        <f>HYPERLINK("https://klasma.github.io/Logging_0461/tillsyn/A 9303-2023 tillsynsbegäran.docx", "A 9303-2023")</f>
        <v/>
      </c>
      <c r="Y58">
        <f>HYPERLINK("https://klasma.github.io/Logging_0461/tillsynsmail/A 9303-2023 tillsynsbegäran mail.docx", "A 9303-2023")</f>
        <v/>
      </c>
    </row>
    <row r="59" ht="15" customHeight="1">
      <c r="A59" t="inlineStr">
        <is>
          <t>A 12174-2023</t>
        </is>
      </c>
      <c r="B59" s="1" t="n">
        <v>44995</v>
      </c>
      <c r="C59" s="1" t="n">
        <v>45783</v>
      </c>
      <c r="D59" t="inlineStr">
        <is>
          <t>SÖDERMANLANDS LÄN</t>
        </is>
      </c>
      <c r="E59" t="inlineStr">
        <is>
          <t>GNESTA</t>
        </is>
      </c>
      <c r="G59" t="n">
        <v>11.2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12174-2023 artfynd.xlsx", "A 12174-2023")</f>
        <v/>
      </c>
      <c r="T59">
        <f>HYPERLINK("https://klasma.github.io/Logging_0461/kartor/A 12174-2023 karta.png", "A 12174-2023")</f>
        <v/>
      </c>
      <c r="V59">
        <f>HYPERLINK("https://klasma.github.io/Logging_0461/klagomål/A 12174-2023 FSC-klagomål.docx", "A 12174-2023")</f>
        <v/>
      </c>
      <c r="W59">
        <f>HYPERLINK("https://klasma.github.io/Logging_0461/klagomålsmail/A 12174-2023 FSC-klagomål mail.docx", "A 12174-2023")</f>
        <v/>
      </c>
      <c r="X59">
        <f>HYPERLINK("https://klasma.github.io/Logging_0461/tillsyn/A 12174-2023 tillsynsbegäran.docx", "A 12174-2023")</f>
        <v/>
      </c>
      <c r="Y59">
        <f>HYPERLINK("https://klasma.github.io/Logging_0461/tillsynsmail/A 12174-2023 tillsynsbegäran mail.docx", "A 12174-2023")</f>
        <v/>
      </c>
    </row>
    <row r="60" ht="15" customHeight="1">
      <c r="A60" t="inlineStr">
        <is>
          <t>A 17653-2023</t>
        </is>
      </c>
      <c r="B60" s="1" t="n">
        <v>45036</v>
      </c>
      <c r="C60" s="1" t="n">
        <v>45783</v>
      </c>
      <c r="D60" t="inlineStr">
        <is>
          <t>SÖDERMANLANDS LÄN</t>
        </is>
      </c>
      <c r="E60" t="inlineStr">
        <is>
          <t>GNESTA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Bronspraktbagge</t>
        </is>
      </c>
      <c r="S60">
        <f>HYPERLINK("https://klasma.github.io/Logging_0461/artfynd/A 17653-2023 artfynd.xlsx", "A 17653-2023")</f>
        <v/>
      </c>
      <c r="T60">
        <f>HYPERLINK("https://klasma.github.io/Logging_0461/kartor/A 17653-2023 karta.png", "A 17653-2023")</f>
        <v/>
      </c>
      <c r="V60">
        <f>HYPERLINK("https://klasma.github.io/Logging_0461/klagomål/A 17653-2023 FSC-klagomål.docx", "A 17653-2023")</f>
        <v/>
      </c>
      <c r="W60">
        <f>HYPERLINK("https://klasma.github.io/Logging_0461/klagomålsmail/A 17653-2023 FSC-klagomål mail.docx", "A 17653-2023")</f>
        <v/>
      </c>
      <c r="X60">
        <f>HYPERLINK("https://klasma.github.io/Logging_0461/tillsyn/A 17653-2023 tillsynsbegäran.docx", "A 17653-2023")</f>
        <v/>
      </c>
      <c r="Y60">
        <f>HYPERLINK("https://klasma.github.io/Logging_0461/tillsynsmail/A 17653-2023 tillsynsbegäran mail.docx", "A 17653-2023")</f>
        <v/>
      </c>
    </row>
    <row r="61" ht="15" customHeight="1">
      <c r="A61" t="inlineStr">
        <is>
          <t>A 33639-2023</t>
        </is>
      </c>
      <c r="B61" s="1" t="n">
        <v>45119</v>
      </c>
      <c r="C61" s="1" t="n">
        <v>45783</v>
      </c>
      <c r="D61" t="inlineStr">
        <is>
          <t>SÖDERMANLANDS LÄN</t>
        </is>
      </c>
      <c r="E61" t="inlineStr">
        <is>
          <t>GNESTA</t>
        </is>
      </c>
      <c r="G61" t="n">
        <v>6.1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Springkorn</t>
        </is>
      </c>
      <c r="S61">
        <f>HYPERLINK("https://klasma.github.io/Logging_0461/artfynd/A 33639-2023 artfynd.xlsx", "A 33639-2023")</f>
        <v/>
      </c>
      <c r="T61">
        <f>HYPERLINK("https://klasma.github.io/Logging_0461/kartor/A 33639-2023 karta.png", "A 33639-2023")</f>
        <v/>
      </c>
      <c r="V61">
        <f>HYPERLINK("https://klasma.github.io/Logging_0461/klagomål/A 33639-2023 FSC-klagomål.docx", "A 33639-2023")</f>
        <v/>
      </c>
      <c r="W61">
        <f>HYPERLINK("https://klasma.github.io/Logging_0461/klagomålsmail/A 33639-2023 FSC-klagomål mail.docx", "A 33639-2023")</f>
        <v/>
      </c>
      <c r="X61">
        <f>HYPERLINK("https://klasma.github.io/Logging_0461/tillsyn/A 33639-2023 tillsynsbegäran.docx", "A 33639-2023")</f>
        <v/>
      </c>
      <c r="Y61">
        <f>HYPERLINK("https://klasma.github.io/Logging_0461/tillsynsmail/A 33639-2023 tillsynsbegäran mail.docx", "A 33639-2023")</f>
        <v/>
      </c>
    </row>
    <row r="62" ht="15" customHeight="1">
      <c r="A62" t="inlineStr">
        <is>
          <t>A 40267-2023</t>
        </is>
      </c>
      <c r="B62" s="1" t="n">
        <v>45169</v>
      </c>
      <c r="C62" s="1" t="n">
        <v>45783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40267-2023 artfynd.xlsx", "A 40267-2023")</f>
        <v/>
      </c>
      <c r="T62">
        <f>HYPERLINK("https://klasma.github.io/Logging_0461/kartor/A 40267-2023 karta.png", "A 40267-2023")</f>
        <v/>
      </c>
      <c r="V62">
        <f>HYPERLINK("https://klasma.github.io/Logging_0461/klagomål/A 40267-2023 FSC-klagomål.docx", "A 40267-2023")</f>
        <v/>
      </c>
      <c r="W62">
        <f>HYPERLINK("https://klasma.github.io/Logging_0461/klagomålsmail/A 40267-2023 FSC-klagomål mail.docx", "A 40267-2023")</f>
        <v/>
      </c>
      <c r="X62">
        <f>HYPERLINK("https://klasma.github.io/Logging_0461/tillsyn/A 40267-2023 tillsynsbegäran.docx", "A 40267-2023")</f>
        <v/>
      </c>
      <c r="Y62">
        <f>HYPERLINK("https://klasma.github.io/Logging_0461/tillsynsmail/A 40267-2023 tillsynsbegäran mail.docx", "A 40267-2023")</f>
        <v/>
      </c>
    </row>
    <row r="63" ht="15" customHeight="1">
      <c r="A63" t="inlineStr">
        <is>
          <t>A 42552-2023</t>
        </is>
      </c>
      <c r="B63" s="1" t="n">
        <v>45181</v>
      </c>
      <c r="C63" s="1" t="n">
        <v>45783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42552-2023 artfynd.xlsx", "A 42552-2023")</f>
        <v/>
      </c>
      <c r="T63">
        <f>HYPERLINK("https://klasma.github.io/Logging_0461/kartor/A 42552-2023 karta.png", "A 42552-2023")</f>
        <v/>
      </c>
      <c r="V63">
        <f>HYPERLINK("https://klasma.github.io/Logging_0461/klagomål/A 42552-2023 FSC-klagomål.docx", "A 42552-2023")</f>
        <v/>
      </c>
      <c r="W63">
        <f>HYPERLINK("https://klasma.github.io/Logging_0461/klagomålsmail/A 42552-2023 FSC-klagomål mail.docx", "A 42552-2023")</f>
        <v/>
      </c>
      <c r="X63">
        <f>HYPERLINK("https://klasma.github.io/Logging_0461/tillsyn/A 42552-2023 tillsynsbegäran.docx", "A 42552-2023")</f>
        <v/>
      </c>
      <c r="Y63">
        <f>HYPERLINK("https://klasma.github.io/Logging_0461/tillsynsmail/A 42552-2023 tillsynsbegäran mail.docx", "A 42552-2023")</f>
        <v/>
      </c>
    </row>
    <row r="64" ht="15" customHeight="1">
      <c r="A64" t="inlineStr">
        <is>
          <t>A 62737-2023</t>
        </is>
      </c>
      <c r="B64" s="1" t="n">
        <v>45271</v>
      </c>
      <c r="C64" s="1" t="n">
        <v>45783</v>
      </c>
      <c r="D64" t="inlineStr">
        <is>
          <t>SÖDERMANLANDS LÄN</t>
        </is>
      </c>
      <c r="E64" t="inlineStr">
        <is>
          <t>GNESTA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HYPERLINK("https://klasma.github.io/Logging_0461/artfynd/A 62737-2023 artfynd.xlsx", "A 62737-2023")</f>
        <v/>
      </c>
      <c r="T64">
        <f>HYPERLINK("https://klasma.github.io/Logging_0461/kartor/A 62737-2023 karta.png", "A 62737-2023")</f>
        <v/>
      </c>
      <c r="V64">
        <f>HYPERLINK("https://klasma.github.io/Logging_0461/klagomål/A 62737-2023 FSC-klagomål.docx", "A 62737-2023")</f>
        <v/>
      </c>
      <c r="W64">
        <f>HYPERLINK("https://klasma.github.io/Logging_0461/klagomålsmail/A 62737-2023 FSC-klagomål mail.docx", "A 62737-2023")</f>
        <v/>
      </c>
      <c r="X64">
        <f>HYPERLINK("https://klasma.github.io/Logging_0461/tillsyn/A 62737-2023 tillsynsbegäran.docx", "A 62737-2023")</f>
        <v/>
      </c>
      <c r="Y64">
        <f>HYPERLINK("https://klasma.github.io/Logging_0461/tillsynsmail/A 62737-2023 tillsynsbegäran mail.docx", "A 62737-2023")</f>
        <v/>
      </c>
    </row>
    <row r="65" ht="15" customHeight="1">
      <c r="A65" t="inlineStr">
        <is>
          <t>A 1712-2024</t>
        </is>
      </c>
      <c r="B65" s="1" t="n">
        <v>45307</v>
      </c>
      <c r="C65" s="1" t="n">
        <v>45783</v>
      </c>
      <c r="D65" t="inlineStr">
        <is>
          <t>SÖDERMANLANDS LÄN</t>
        </is>
      </c>
      <c r="E65" t="inlineStr">
        <is>
          <t>GNESTA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HYPERLINK("https://klasma.github.io/Logging_0461/artfynd/A 1712-2024 artfynd.xlsx", "A 1712-2024")</f>
        <v/>
      </c>
      <c r="T65">
        <f>HYPERLINK("https://klasma.github.io/Logging_0461/kartor/A 1712-2024 karta.png", "A 1712-2024")</f>
        <v/>
      </c>
      <c r="V65">
        <f>HYPERLINK("https://klasma.github.io/Logging_0461/klagomål/A 1712-2024 FSC-klagomål.docx", "A 1712-2024")</f>
        <v/>
      </c>
      <c r="W65">
        <f>HYPERLINK("https://klasma.github.io/Logging_0461/klagomålsmail/A 1712-2024 FSC-klagomål mail.docx", "A 1712-2024")</f>
        <v/>
      </c>
      <c r="X65">
        <f>HYPERLINK("https://klasma.github.io/Logging_0461/tillsyn/A 1712-2024 tillsynsbegäran.docx", "A 1712-2024")</f>
        <v/>
      </c>
      <c r="Y65">
        <f>HYPERLINK("https://klasma.github.io/Logging_0461/tillsynsmail/A 1712-2024 tillsynsbegäran mail.docx", "A 1712-2024")</f>
        <v/>
      </c>
    </row>
    <row r="66" ht="15" customHeight="1">
      <c r="A66" t="inlineStr">
        <is>
          <t>A 25976-2024</t>
        </is>
      </c>
      <c r="B66" s="1" t="n">
        <v>45467</v>
      </c>
      <c r="C66" s="1" t="n">
        <v>45783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Brun nållav</t>
        </is>
      </c>
      <c r="S66">
        <f>HYPERLINK("https://klasma.github.io/Logging_0461/artfynd/A 25976-2024 artfynd.xlsx", "A 25976-2024")</f>
        <v/>
      </c>
      <c r="T66">
        <f>HYPERLINK("https://klasma.github.io/Logging_0461/kartor/A 25976-2024 karta.png", "A 25976-2024")</f>
        <v/>
      </c>
      <c r="V66">
        <f>HYPERLINK("https://klasma.github.io/Logging_0461/klagomål/A 25976-2024 FSC-klagomål.docx", "A 25976-2024")</f>
        <v/>
      </c>
      <c r="W66">
        <f>HYPERLINK("https://klasma.github.io/Logging_0461/klagomålsmail/A 25976-2024 FSC-klagomål mail.docx", "A 25976-2024")</f>
        <v/>
      </c>
      <c r="X66">
        <f>HYPERLINK("https://klasma.github.io/Logging_0461/tillsyn/A 25976-2024 tillsynsbegäran.docx", "A 25976-2024")</f>
        <v/>
      </c>
      <c r="Y66">
        <f>HYPERLINK("https://klasma.github.io/Logging_0461/tillsynsmail/A 25976-2024 tillsynsbegäran mail.docx", "A 25976-2024")</f>
        <v/>
      </c>
    </row>
    <row r="67" ht="15" customHeight="1">
      <c r="A67" t="inlineStr">
        <is>
          <t>A 51217-2024</t>
        </is>
      </c>
      <c r="B67" s="1" t="n">
        <v>45603</v>
      </c>
      <c r="C67" s="1" t="n">
        <v>45783</v>
      </c>
      <c r="D67" t="inlineStr">
        <is>
          <t>SÖDERMANLANDS LÄN</t>
        </is>
      </c>
      <c r="E67" t="inlineStr">
        <is>
          <t>GNESTA</t>
        </is>
      </c>
      <c r="G67" t="n">
        <v>16.6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HYPERLINK("https://klasma.github.io/Logging_0461/artfynd/A 51217-2024 artfynd.xlsx", "A 51217-2024")</f>
        <v/>
      </c>
      <c r="T67">
        <f>HYPERLINK("https://klasma.github.io/Logging_0461/kartor/A 51217-2024 karta.png", "A 51217-2024")</f>
        <v/>
      </c>
      <c r="V67">
        <f>HYPERLINK("https://klasma.github.io/Logging_0461/klagomål/A 51217-2024 FSC-klagomål.docx", "A 51217-2024")</f>
        <v/>
      </c>
      <c r="W67">
        <f>HYPERLINK("https://klasma.github.io/Logging_0461/klagomålsmail/A 51217-2024 FSC-klagomål mail.docx", "A 51217-2024")</f>
        <v/>
      </c>
      <c r="X67">
        <f>HYPERLINK("https://klasma.github.io/Logging_0461/tillsyn/A 51217-2024 tillsynsbegäran.docx", "A 51217-2024")</f>
        <v/>
      </c>
      <c r="Y67">
        <f>HYPERLINK("https://klasma.github.io/Logging_0461/tillsynsmail/A 51217-2024 tillsynsbegäran mail.docx", "A 51217-2024")</f>
        <v/>
      </c>
    </row>
    <row r="68" ht="15" customHeight="1">
      <c r="A68" t="inlineStr">
        <is>
          <t>A 51095-2024</t>
        </is>
      </c>
      <c r="B68" s="1" t="n">
        <v>45603</v>
      </c>
      <c r="C68" s="1" t="n">
        <v>45783</v>
      </c>
      <c r="D68" t="inlineStr">
        <is>
          <t>SÖDERMANLANDS LÄN</t>
        </is>
      </c>
      <c r="E68" t="inlineStr">
        <is>
          <t>GNESTA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HYPERLINK("https://klasma.github.io/Logging_0461/artfynd/A 51095-2024 artfynd.xlsx", "A 51095-2024")</f>
        <v/>
      </c>
      <c r="T68">
        <f>HYPERLINK("https://klasma.github.io/Logging_0461/kartor/A 51095-2024 karta.png", "A 51095-2024")</f>
        <v/>
      </c>
      <c r="V68">
        <f>HYPERLINK("https://klasma.github.io/Logging_0461/klagomål/A 51095-2024 FSC-klagomål.docx", "A 51095-2024")</f>
        <v/>
      </c>
      <c r="W68">
        <f>HYPERLINK("https://klasma.github.io/Logging_0461/klagomålsmail/A 51095-2024 FSC-klagomål mail.docx", "A 51095-2024")</f>
        <v/>
      </c>
      <c r="X68">
        <f>HYPERLINK("https://klasma.github.io/Logging_0461/tillsyn/A 51095-2024 tillsynsbegäran.docx", "A 51095-2024")</f>
        <v/>
      </c>
      <c r="Y68">
        <f>HYPERLINK("https://klasma.github.io/Logging_0461/tillsynsmail/A 51095-2024 tillsynsbegäran mail.docx", "A 51095-2024")</f>
        <v/>
      </c>
    </row>
    <row r="69" ht="15" customHeight="1">
      <c r="A69" t="inlineStr">
        <is>
          <t>A 18002-2019</t>
        </is>
      </c>
      <c r="B69" s="1" t="n">
        <v>43556</v>
      </c>
      <c r="C69" s="1" t="n">
        <v>45783</v>
      </c>
      <c r="D69" t="inlineStr">
        <is>
          <t>SÖDERMANLANDS LÄN</t>
        </is>
      </c>
      <c r="E69" t="inlineStr">
        <is>
          <t>GNESTA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18639-2019</t>
        </is>
      </c>
      <c r="B70" s="1" t="n">
        <v>43559</v>
      </c>
      <c r="C70" s="1" t="n">
        <v>45783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18892-2019</t>
        </is>
      </c>
      <c r="B71" s="1" t="n">
        <v>43563</v>
      </c>
      <c r="C71" s="1" t="n">
        <v>45783</v>
      </c>
      <c r="D71" t="inlineStr">
        <is>
          <t>SÖDERMANLANDS LÄN</t>
        </is>
      </c>
      <c r="E71" t="inlineStr">
        <is>
          <t>GNESTA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19166-2019</t>
        </is>
      </c>
      <c r="B72" s="1" t="n">
        <v>43564</v>
      </c>
      <c r="C72" s="1" t="n">
        <v>45783</v>
      </c>
      <c r="D72" t="inlineStr">
        <is>
          <t>SÖDERMANLANDS LÄN</t>
        </is>
      </c>
      <c r="E72" t="inlineStr">
        <is>
          <t>GNESTA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19804-2019</t>
        </is>
      </c>
      <c r="B73" s="1" t="n">
        <v>43566</v>
      </c>
      <c r="C73" s="1" t="n">
        <v>45783</v>
      </c>
      <c r="D73" t="inlineStr">
        <is>
          <t>SÖDERMANLANDS LÄN</t>
        </is>
      </c>
      <c r="E73" t="inlineStr">
        <is>
          <t>GNESTA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20529-2019</t>
        </is>
      </c>
      <c r="B74" s="1" t="n">
        <v>43572</v>
      </c>
      <c r="C74" s="1" t="n">
        <v>45783</v>
      </c>
      <c r="D74" t="inlineStr">
        <is>
          <t>SÖDERMANLANDS LÄN</t>
        </is>
      </c>
      <c r="E74" t="inlineStr">
        <is>
          <t>GNESTA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21691-2019</t>
        </is>
      </c>
      <c r="B75" s="1" t="n">
        <v>43581</v>
      </c>
      <c r="C75" s="1" t="n">
        <v>45783</v>
      </c>
      <c r="D75" t="inlineStr">
        <is>
          <t>SÖDERMANLANDS LÄN</t>
        </is>
      </c>
      <c r="E75" t="inlineStr">
        <is>
          <t>GNESTA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22100-2019</t>
        </is>
      </c>
      <c r="B76" s="1" t="n">
        <v>43584</v>
      </c>
      <c r="C76" s="1" t="n">
        <v>45783</v>
      </c>
      <c r="D76" t="inlineStr">
        <is>
          <t>SÖDERMANLANDS LÄN</t>
        </is>
      </c>
      <c r="E76" t="inlineStr">
        <is>
          <t>GNESTA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22101-2019</t>
        </is>
      </c>
      <c r="B77" s="1" t="n">
        <v>43584</v>
      </c>
      <c r="C77" s="1" t="n">
        <v>45783</v>
      </c>
      <c r="D77" t="inlineStr">
        <is>
          <t>SÖDERMANLANDS LÄN</t>
        </is>
      </c>
      <c r="E77" t="inlineStr">
        <is>
          <t>GNESTA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23506-2019</t>
        </is>
      </c>
      <c r="B78" s="1" t="n">
        <v>43593</v>
      </c>
      <c r="C78" s="1" t="n">
        <v>45783</v>
      </c>
      <c r="D78" t="inlineStr">
        <is>
          <t>SÖDERMANLANDS LÄN</t>
        </is>
      </c>
      <c r="E78" t="inlineStr">
        <is>
          <t>GNESTA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25294-2019</t>
        </is>
      </c>
      <c r="B79" s="1" t="n">
        <v>43605</v>
      </c>
      <c r="C79" s="1" t="n">
        <v>45783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35061-2019</t>
        </is>
      </c>
      <c r="B80" s="1" t="n">
        <v>43661</v>
      </c>
      <c r="C80" s="1" t="n">
        <v>45783</v>
      </c>
      <c r="D80" t="inlineStr">
        <is>
          <t>SÖDERMANLANDS LÄN</t>
        </is>
      </c>
      <c r="E80" t="inlineStr">
        <is>
          <t>GNESTA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37715-2019</t>
        </is>
      </c>
      <c r="B81" s="1" t="n">
        <v>43682</v>
      </c>
      <c r="C81" s="1" t="n">
        <v>45783</v>
      </c>
      <c r="D81" t="inlineStr">
        <is>
          <t>SÖDERMANLANDS LÄN</t>
        </is>
      </c>
      <c r="E81" t="inlineStr">
        <is>
          <t>GNESTA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37712-2019</t>
        </is>
      </c>
      <c r="B82" s="1" t="n">
        <v>43682</v>
      </c>
      <c r="C82" s="1" t="n">
        <v>45783</v>
      </c>
      <c r="D82" t="inlineStr">
        <is>
          <t>SÖDERMANLANDS LÄN</t>
        </is>
      </c>
      <c r="E82" t="inlineStr">
        <is>
          <t>GNESTA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38812-2019</t>
        </is>
      </c>
      <c r="B83" s="1" t="n">
        <v>43689</v>
      </c>
      <c r="C83" s="1" t="n">
        <v>45783</v>
      </c>
      <c r="D83" t="inlineStr">
        <is>
          <t>SÖDERMANLANDS LÄN</t>
        </is>
      </c>
      <c r="E83" t="inlineStr">
        <is>
          <t>GNESTA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38977-2019</t>
        </is>
      </c>
      <c r="B84" s="1" t="n">
        <v>43689</v>
      </c>
      <c r="C84" s="1" t="n">
        <v>45783</v>
      </c>
      <c r="D84" t="inlineStr">
        <is>
          <t>SÖDERMANLANDS LÄN</t>
        </is>
      </c>
      <c r="E84" t="inlineStr">
        <is>
          <t>GNESTA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39982-2019</t>
        </is>
      </c>
      <c r="B85" s="1" t="n">
        <v>43692</v>
      </c>
      <c r="C85" s="1" t="n">
        <v>45783</v>
      </c>
      <c r="D85" t="inlineStr">
        <is>
          <t>SÖDERMANLANDS LÄN</t>
        </is>
      </c>
      <c r="E85" t="inlineStr">
        <is>
          <t>GNESTA</t>
        </is>
      </c>
      <c r="F85" t="inlineStr">
        <is>
          <t>Kommuner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40781-2019</t>
        </is>
      </c>
      <c r="B86" s="1" t="n">
        <v>43697</v>
      </c>
      <c r="C86" s="1" t="n">
        <v>45783</v>
      </c>
      <c r="D86" t="inlineStr">
        <is>
          <t>SÖDERMANLANDS LÄN</t>
        </is>
      </c>
      <c r="E86" t="inlineStr">
        <is>
          <t>GNESTA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42946-2019</t>
        </is>
      </c>
      <c r="B87" s="1" t="n">
        <v>43705</v>
      </c>
      <c r="C87" s="1" t="n">
        <v>45783</v>
      </c>
      <c r="D87" t="inlineStr">
        <is>
          <t>SÖDERMANLANDS LÄN</t>
        </is>
      </c>
      <c r="E87" t="inlineStr">
        <is>
          <t>GNESTA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44504-2019</t>
        </is>
      </c>
      <c r="B88" s="1" t="n">
        <v>43711</v>
      </c>
      <c r="C88" s="1" t="n">
        <v>45783</v>
      </c>
      <c r="D88" t="inlineStr">
        <is>
          <t>SÖDERMANLANDS LÄN</t>
        </is>
      </c>
      <c r="E88" t="inlineStr">
        <is>
          <t>GNESTA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46634-2019</t>
        </is>
      </c>
      <c r="B89" s="1" t="n">
        <v>43717</v>
      </c>
      <c r="C89" s="1" t="n">
        <v>45783</v>
      </c>
      <c r="D89" t="inlineStr">
        <is>
          <t>SÖDERMANLANDS LÄN</t>
        </is>
      </c>
      <c r="E89" t="inlineStr">
        <is>
          <t>GNESTA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47115-2019</t>
        </is>
      </c>
      <c r="B90" s="1" t="n">
        <v>43720</v>
      </c>
      <c r="C90" s="1" t="n">
        <v>45783</v>
      </c>
      <c r="D90" t="inlineStr">
        <is>
          <t>SÖDERMANLANDS LÄN</t>
        </is>
      </c>
      <c r="E90" t="inlineStr">
        <is>
          <t>GNESTA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47113-2019</t>
        </is>
      </c>
      <c r="B91" s="1" t="n">
        <v>43720</v>
      </c>
      <c r="C91" s="1" t="n">
        <v>45783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47196-2019</t>
        </is>
      </c>
      <c r="B92" s="1" t="n">
        <v>43721</v>
      </c>
      <c r="C92" s="1" t="n">
        <v>45783</v>
      </c>
      <c r="D92" t="inlineStr">
        <is>
          <t>SÖDERMANLANDS LÄN</t>
        </is>
      </c>
      <c r="E92" t="inlineStr">
        <is>
          <t>GNESTA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47682-2019</t>
        </is>
      </c>
      <c r="B93" s="1" t="n">
        <v>43724</v>
      </c>
      <c r="C93" s="1" t="n">
        <v>45783</v>
      </c>
      <c r="D93" t="inlineStr">
        <is>
          <t>SÖDERMANLANDS LÄN</t>
        </is>
      </c>
      <c r="E93" t="inlineStr">
        <is>
          <t>GNESTA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47770-2019</t>
        </is>
      </c>
      <c r="B94" s="1" t="n">
        <v>43724</v>
      </c>
      <c r="C94" s="1" t="n">
        <v>45783</v>
      </c>
      <c r="D94" t="inlineStr">
        <is>
          <t>SÖDERMANLANDS LÄN</t>
        </is>
      </c>
      <c r="E94" t="inlineStr">
        <is>
          <t>GNESTA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48829-2019</t>
        </is>
      </c>
      <c r="B95" s="1" t="n">
        <v>43728</v>
      </c>
      <c r="C95" s="1" t="n">
        <v>45783</v>
      </c>
      <c r="D95" t="inlineStr">
        <is>
          <t>SÖDERMANLANDS LÄN</t>
        </is>
      </c>
      <c r="E95" t="inlineStr">
        <is>
          <t>GNESTA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48827-2019</t>
        </is>
      </c>
      <c r="B96" s="1" t="n">
        <v>43728</v>
      </c>
      <c r="C96" s="1" t="n">
        <v>45783</v>
      </c>
      <c r="D96" t="inlineStr">
        <is>
          <t>SÖDERMANLANDS LÄN</t>
        </is>
      </c>
      <c r="E96" t="inlineStr">
        <is>
          <t>GNESTA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50018-2019</t>
        </is>
      </c>
      <c r="B97" s="1" t="n">
        <v>43734</v>
      </c>
      <c r="C97" s="1" t="n">
        <v>45783</v>
      </c>
      <c r="D97" t="inlineStr">
        <is>
          <t>SÖDERMANLANDS LÄN</t>
        </is>
      </c>
      <c r="E97" t="inlineStr">
        <is>
          <t>GNESTA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53933-2019</t>
        </is>
      </c>
      <c r="B98" s="1" t="n">
        <v>43752</v>
      </c>
      <c r="C98" s="1" t="n">
        <v>45783</v>
      </c>
      <c r="D98" t="inlineStr">
        <is>
          <t>SÖDERMANLANDS LÄN</t>
        </is>
      </c>
      <c r="E98" t="inlineStr">
        <is>
          <t>GNESTA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53945-2019</t>
        </is>
      </c>
      <c r="B99" s="1" t="n">
        <v>43752</v>
      </c>
      <c r="C99" s="1" t="n">
        <v>45783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57725-2019</t>
        </is>
      </c>
      <c r="B100" s="1" t="n">
        <v>43768</v>
      </c>
      <c r="C100" s="1" t="n">
        <v>45783</v>
      </c>
      <c r="D100" t="inlineStr">
        <is>
          <t>SÖDERMANLANDS LÄN</t>
        </is>
      </c>
      <c r="E100" t="inlineStr">
        <is>
          <t>GNESTA</t>
        </is>
      </c>
      <c r="G100" t="n">
        <v>18.4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59224-2019</t>
        </is>
      </c>
      <c r="B101" s="1" t="n">
        <v>43775</v>
      </c>
      <c r="C101" s="1" t="n">
        <v>45783</v>
      </c>
      <c r="D101" t="inlineStr">
        <is>
          <t>SÖDERMANLANDS LÄN</t>
        </is>
      </c>
      <c r="E101" t="inlineStr">
        <is>
          <t>GNESTA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62954-2019</t>
        </is>
      </c>
      <c r="B102" s="1" t="n">
        <v>43784</v>
      </c>
      <c r="C102" s="1" t="n">
        <v>45783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62962-2019</t>
        </is>
      </c>
      <c r="B103" s="1" t="n">
        <v>43790</v>
      </c>
      <c r="C103" s="1" t="n">
        <v>45783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65575-2019</t>
        </is>
      </c>
      <c r="B104" s="1" t="n">
        <v>43803</v>
      </c>
      <c r="C104" s="1" t="n">
        <v>45783</v>
      </c>
      <c r="D104" t="inlineStr">
        <is>
          <t>SÖDERMANLANDS LÄN</t>
        </is>
      </c>
      <c r="E104" t="inlineStr">
        <is>
          <t>GNESTA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1283-2020</t>
        </is>
      </c>
      <c r="B105" s="1" t="n">
        <v>43842</v>
      </c>
      <c r="C105" s="1" t="n">
        <v>45783</v>
      </c>
      <c r="D105" t="inlineStr">
        <is>
          <t>SÖDERMANLANDS LÄN</t>
        </is>
      </c>
      <c r="E105" t="inlineStr">
        <is>
          <t>GNESTA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7131-2020</t>
        </is>
      </c>
      <c r="B106" s="1" t="n">
        <v>43868</v>
      </c>
      <c r="C106" s="1" t="n">
        <v>45783</v>
      </c>
      <c r="D106" t="inlineStr">
        <is>
          <t>SÖDERMANLANDS LÄN</t>
        </is>
      </c>
      <c r="E106" t="inlineStr">
        <is>
          <t>GNESTA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9224-2020</t>
        </is>
      </c>
      <c r="B107" s="1" t="n">
        <v>43879</v>
      </c>
      <c r="C107" s="1" t="n">
        <v>45783</v>
      </c>
      <c r="D107" t="inlineStr">
        <is>
          <t>SÖDERMANLANDS LÄN</t>
        </is>
      </c>
      <c r="E107" t="inlineStr">
        <is>
          <t>GNESTA</t>
        </is>
      </c>
      <c r="F107" t="inlineStr">
        <is>
          <t>Övriga Aktiebolag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12517-2020</t>
        </is>
      </c>
      <c r="B108" s="1" t="n">
        <v>43896</v>
      </c>
      <c r="C108" s="1" t="n">
        <v>45783</v>
      </c>
      <c r="D108" t="inlineStr">
        <is>
          <t>SÖDERMANLANDS LÄN</t>
        </is>
      </c>
      <c r="E108" t="inlineStr">
        <is>
          <t>GNESTA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13717-2020</t>
        </is>
      </c>
      <c r="B109" s="1" t="n">
        <v>43896</v>
      </c>
      <c r="C109" s="1" t="n">
        <v>45783</v>
      </c>
      <c r="D109" t="inlineStr">
        <is>
          <t>SÖDERMANLANDS LÄN</t>
        </is>
      </c>
      <c r="E109" t="inlineStr">
        <is>
          <t>GNESTA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13837-2020</t>
        </is>
      </c>
      <c r="B110" s="1" t="n">
        <v>43896</v>
      </c>
      <c r="C110" s="1" t="n">
        <v>45783</v>
      </c>
      <c r="D110" t="inlineStr">
        <is>
          <t>SÖDERMANLANDS LÄN</t>
        </is>
      </c>
      <c r="E110" t="inlineStr">
        <is>
          <t>GNESTA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13834-2020</t>
        </is>
      </c>
      <c r="B111" s="1" t="n">
        <v>43896</v>
      </c>
      <c r="C111" s="1" t="n">
        <v>45783</v>
      </c>
      <c r="D111" t="inlineStr">
        <is>
          <t>SÖDERMANLANDS LÄN</t>
        </is>
      </c>
      <c r="E111" t="inlineStr">
        <is>
          <t>GNESTA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12817-2020</t>
        </is>
      </c>
      <c r="B112" s="1" t="n">
        <v>43899</v>
      </c>
      <c r="C112" s="1" t="n">
        <v>45783</v>
      </c>
      <c r="D112" t="inlineStr">
        <is>
          <t>SÖDERMANLANDS LÄN</t>
        </is>
      </c>
      <c r="E112" t="inlineStr">
        <is>
          <t>GNESTA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12861-2020</t>
        </is>
      </c>
      <c r="B113" s="1" t="n">
        <v>43899</v>
      </c>
      <c r="C113" s="1" t="n">
        <v>45783</v>
      </c>
      <c r="D113" t="inlineStr">
        <is>
          <t>SÖDERMANLANDS LÄN</t>
        </is>
      </c>
      <c r="E113" t="inlineStr">
        <is>
          <t>GNESTA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13355-2020</t>
        </is>
      </c>
      <c r="B114" s="1" t="n">
        <v>43902</v>
      </c>
      <c r="C114" s="1" t="n">
        <v>45783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13351-2020</t>
        </is>
      </c>
      <c r="B115" s="1" t="n">
        <v>43902</v>
      </c>
      <c r="C115" s="1" t="n">
        <v>45783</v>
      </c>
      <c r="D115" t="inlineStr">
        <is>
          <t>SÖDERMANLANDS LÄN</t>
        </is>
      </c>
      <c r="E115" t="inlineStr">
        <is>
          <t>GNESTA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16499-2020</t>
        </is>
      </c>
      <c r="B116" s="1" t="n">
        <v>43910</v>
      </c>
      <c r="C116" s="1" t="n">
        <v>45783</v>
      </c>
      <c r="D116" t="inlineStr">
        <is>
          <t>SÖDERMANLANDS LÄN</t>
        </is>
      </c>
      <c r="E116" t="inlineStr">
        <is>
          <t>GNESTA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16438-2020</t>
        </is>
      </c>
      <c r="B117" s="1" t="n">
        <v>43919</v>
      </c>
      <c r="C117" s="1" t="n">
        <v>45783</v>
      </c>
      <c r="D117" t="inlineStr">
        <is>
          <t>SÖDERMANLANDS LÄN</t>
        </is>
      </c>
      <c r="E117" t="inlineStr">
        <is>
          <t>GNESTA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18352-2020</t>
        </is>
      </c>
      <c r="B118" s="1" t="n">
        <v>43927</v>
      </c>
      <c r="C118" s="1" t="n">
        <v>45783</v>
      </c>
      <c r="D118" t="inlineStr">
        <is>
          <t>SÖDERMANLANDS LÄN</t>
        </is>
      </c>
      <c r="E118" t="inlineStr">
        <is>
          <t>GNESTA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20400-2020</t>
        </is>
      </c>
      <c r="B119" s="1" t="n">
        <v>43945</v>
      </c>
      <c r="C119" s="1" t="n">
        <v>45783</v>
      </c>
      <c r="D119" t="inlineStr">
        <is>
          <t>SÖDERMANLANDS LÄN</t>
        </is>
      </c>
      <c r="E119" t="inlineStr">
        <is>
          <t>GNESTA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24116-2020</t>
        </is>
      </c>
      <c r="B120" s="1" t="n">
        <v>43973</v>
      </c>
      <c r="C120" s="1" t="n">
        <v>45783</v>
      </c>
      <c r="D120" t="inlineStr">
        <is>
          <t>SÖDERMANLANDS LÄN</t>
        </is>
      </c>
      <c r="E120" t="inlineStr">
        <is>
          <t>GNESTA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24604-2020</t>
        </is>
      </c>
      <c r="B121" s="1" t="n">
        <v>43977</v>
      </c>
      <c r="C121" s="1" t="n">
        <v>45783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24605-2020</t>
        </is>
      </c>
      <c r="B122" s="1" t="n">
        <v>43977</v>
      </c>
      <c r="C122" s="1" t="n">
        <v>45783</v>
      </c>
      <c r="D122" t="inlineStr">
        <is>
          <t>SÖDERMANLANDS LÄN</t>
        </is>
      </c>
      <c r="E122" t="inlineStr">
        <is>
          <t>GNESTA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25945-2020</t>
        </is>
      </c>
      <c r="B123" s="1" t="n">
        <v>43985</v>
      </c>
      <c r="C123" s="1" t="n">
        <v>45783</v>
      </c>
      <c r="D123" t="inlineStr">
        <is>
          <t>SÖDERMANLANDS LÄN</t>
        </is>
      </c>
      <c r="E123" t="inlineStr">
        <is>
          <t>GNESTA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28154-2020</t>
        </is>
      </c>
      <c r="B124" s="1" t="n">
        <v>43997</v>
      </c>
      <c r="C124" s="1" t="n">
        <v>45783</v>
      </c>
      <c r="D124" t="inlineStr">
        <is>
          <t>SÖDERMANLANDS LÄN</t>
        </is>
      </c>
      <c r="E124" t="inlineStr">
        <is>
          <t>GNESTA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29601-2020</t>
        </is>
      </c>
      <c r="B125" s="1" t="n">
        <v>44005</v>
      </c>
      <c r="C125" s="1" t="n">
        <v>45783</v>
      </c>
      <c r="D125" t="inlineStr">
        <is>
          <t>SÖDERMANLANDS LÄN</t>
        </is>
      </c>
      <c r="E125" t="inlineStr">
        <is>
          <t>GNESTA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29847-2020</t>
        </is>
      </c>
      <c r="B126" s="1" t="n">
        <v>44006</v>
      </c>
      <c r="C126" s="1" t="n">
        <v>45783</v>
      </c>
      <c r="D126" t="inlineStr">
        <is>
          <t>SÖDERMANLANDS LÄN</t>
        </is>
      </c>
      <c r="E126" t="inlineStr">
        <is>
          <t>GNESTA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34536-2020</t>
        </is>
      </c>
      <c r="B127" s="1" t="n">
        <v>44032</v>
      </c>
      <c r="C127" s="1" t="n">
        <v>45783</v>
      </c>
      <c r="D127" t="inlineStr">
        <is>
          <t>SÖDERMANLANDS LÄN</t>
        </is>
      </c>
      <c r="E127" t="inlineStr">
        <is>
          <t>GNESTA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34676-2020</t>
        </is>
      </c>
      <c r="B128" s="1" t="n">
        <v>44035</v>
      </c>
      <c r="C128" s="1" t="n">
        <v>45783</v>
      </c>
      <c r="D128" t="inlineStr">
        <is>
          <t>SÖDERMANLANDS LÄN</t>
        </is>
      </c>
      <c r="E128" t="inlineStr">
        <is>
          <t>GNESTA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38244-2020</t>
        </is>
      </c>
      <c r="B129" s="1" t="n">
        <v>44060</v>
      </c>
      <c r="C129" s="1" t="n">
        <v>45783</v>
      </c>
      <c r="D129" t="inlineStr">
        <is>
          <t>SÖDERMANLANDS LÄN</t>
        </is>
      </c>
      <c r="E129" t="inlineStr">
        <is>
          <t>GNESTA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38778-2020</t>
        </is>
      </c>
      <c r="B130" s="1" t="n">
        <v>44061</v>
      </c>
      <c r="C130" s="1" t="n">
        <v>45783</v>
      </c>
      <c r="D130" t="inlineStr">
        <is>
          <t>SÖDERMANLANDS LÄN</t>
        </is>
      </c>
      <c r="E130" t="inlineStr">
        <is>
          <t>GNESTA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40352-2020</t>
        </is>
      </c>
      <c r="B131" s="1" t="n">
        <v>44068</v>
      </c>
      <c r="C131" s="1" t="n">
        <v>45783</v>
      </c>
      <c r="D131" t="inlineStr">
        <is>
          <t>SÖDERMANLANDS LÄN</t>
        </is>
      </c>
      <c r="E131" t="inlineStr">
        <is>
          <t>GNESTA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44528-2020</t>
        </is>
      </c>
      <c r="B132" s="1" t="n">
        <v>44084</v>
      </c>
      <c r="C132" s="1" t="n">
        <v>45783</v>
      </c>
      <c r="D132" t="inlineStr">
        <is>
          <t>SÖDERMANLANDS LÄN</t>
        </is>
      </c>
      <c r="E132" t="inlineStr">
        <is>
          <t>GNESTA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44808-2020</t>
        </is>
      </c>
      <c r="B133" s="1" t="n">
        <v>44085</v>
      </c>
      <c r="C133" s="1" t="n">
        <v>45783</v>
      </c>
      <c r="D133" t="inlineStr">
        <is>
          <t>SÖDERMANLANDS LÄN</t>
        </is>
      </c>
      <c r="E133" t="inlineStr">
        <is>
          <t>GNESTA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44803-2020</t>
        </is>
      </c>
      <c r="B134" s="1" t="n">
        <v>44085</v>
      </c>
      <c r="C134" s="1" t="n">
        <v>45783</v>
      </c>
      <c r="D134" t="inlineStr">
        <is>
          <t>SÖDERMANLANDS LÄN</t>
        </is>
      </c>
      <c r="E134" t="inlineStr">
        <is>
          <t>GNESTA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47188-2020</t>
        </is>
      </c>
      <c r="B135" s="1" t="n">
        <v>44091</v>
      </c>
      <c r="C135" s="1" t="n">
        <v>45783</v>
      </c>
      <c r="D135" t="inlineStr">
        <is>
          <t>SÖDERMANLANDS LÄN</t>
        </is>
      </c>
      <c r="E135" t="inlineStr">
        <is>
          <t>GNESTA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46471-2020</t>
        </is>
      </c>
      <c r="B136" s="1" t="n">
        <v>44092</v>
      </c>
      <c r="C136" s="1" t="n">
        <v>45783</v>
      </c>
      <c r="D136" t="inlineStr">
        <is>
          <t>SÖDERMANLANDS LÄN</t>
        </is>
      </c>
      <c r="E136" t="inlineStr">
        <is>
          <t>GNESTA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46839-2020</t>
        </is>
      </c>
      <c r="B137" s="1" t="n">
        <v>44095</v>
      </c>
      <c r="C137" s="1" t="n">
        <v>45783</v>
      </c>
      <c r="D137" t="inlineStr">
        <is>
          <t>SÖDERMANLANDS LÄN</t>
        </is>
      </c>
      <c r="E137" t="inlineStr">
        <is>
          <t>GNESTA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47085-2020</t>
        </is>
      </c>
      <c r="B138" s="1" t="n">
        <v>44096</v>
      </c>
      <c r="C138" s="1" t="n">
        <v>45783</v>
      </c>
      <c r="D138" t="inlineStr">
        <is>
          <t>SÖDERMANLANDS LÄN</t>
        </is>
      </c>
      <c r="E138" t="inlineStr">
        <is>
          <t>GNESTA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47095-2020</t>
        </is>
      </c>
      <c r="B139" s="1" t="n">
        <v>44096</v>
      </c>
      <c r="C139" s="1" t="n">
        <v>45783</v>
      </c>
      <c r="D139" t="inlineStr">
        <is>
          <t>SÖDERMANLANDS LÄN</t>
        </is>
      </c>
      <c r="E139" t="inlineStr">
        <is>
          <t>GNESTA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48323-2020</t>
        </is>
      </c>
      <c r="B140" s="1" t="n">
        <v>44097</v>
      </c>
      <c r="C140" s="1" t="n">
        <v>45783</v>
      </c>
      <c r="D140" t="inlineStr">
        <is>
          <t>SÖDERMANLANDS LÄN</t>
        </is>
      </c>
      <c r="E140" t="inlineStr">
        <is>
          <t>GNESTA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48642-2020</t>
        </is>
      </c>
      <c r="B141" s="1" t="n">
        <v>44103</v>
      </c>
      <c r="C141" s="1" t="n">
        <v>45783</v>
      </c>
      <c r="D141" t="inlineStr">
        <is>
          <t>SÖDERMANLANDS LÄN</t>
        </is>
      </c>
      <c r="E141" t="inlineStr">
        <is>
          <t>GNESTA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49258-2020</t>
        </is>
      </c>
      <c r="B142" s="1" t="n">
        <v>44105</v>
      </c>
      <c r="C142" s="1" t="n">
        <v>45783</v>
      </c>
      <c r="D142" t="inlineStr">
        <is>
          <t>SÖDERMANLANDS LÄN</t>
        </is>
      </c>
      <c r="E142" t="inlineStr">
        <is>
          <t>GNESTA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51658-2020</t>
        </is>
      </c>
      <c r="B143" s="1" t="n">
        <v>44109</v>
      </c>
      <c r="C143" s="1" t="n">
        <v>45783</v>
      </c>
      <c r="D143" t="inlineStr">
        <is>
          <t>SÖDERMANLANDS LÄN</t>
        </is>
      </c>
      <c r="E143" t="inlineStr">
        <is>
          <t>GNESTA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49933-2020</t>
        </is>
      </c>
      <c r="B144" s="1" t="n">
        <v>44109</v>
      </c>
      <c r="C144" s="1" t="n">
        <v>45783</v>
      </c>
      <c r="D144" t="inlineStr">
        <is>
          <t>SÖDERMANLANDS LÄN</t>
        </is>
      </c>
      <c r="E144" t="inlineStr">
        <is>
          <t>GNESTA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52834-2020</t>
        </is>
      </c>
      <c r="B145" s="1" t="n">
        <v>44119</v>
      </c>
      <c r="C145" s="1" t="n">
        <v>45783</v>
      </c>
      <c r="D145" t="inlineStr">
        <is>
          <t>SÖDERMANLANDS LÄN</t>
        </is>
      </c>
      <c r="E145" t="inlineStr">
        <is>
          <t>GNESTA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52840-2020</t>
        </is>
      </c>
      <c r="B146" s="1" t="n">
        <v>44119</v>
      </c>
      <c r="C146" s="1" t="n">
        <v>45783</v>
      </c>
      <c r="D146" t="inlineStr">
        <is>
          <t>SÖDERMANLANDS LÄN</t>
        </is>
      </c>
      <c r="E146" t="inlineStr">
        <is>
          <t>GNESTA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56390-2020</t>
        </is>
      </c>
      <c r="B147" s="1" t="n">
        <v>44136</v>
      </c>
      <c r="C147" s="1" t="n">
        <v>45783</v>
      </c>
      <c r="D147" t="inlineStr">
        <is>
          <t>SÖDERMANLANDS LÄN</t>
        </is>
      </c>
      <c r="E147" t="inlineStr">
        <is>
          <t>GNESTA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57118-2020</t>
        </is>
      </c>
      <c r="B148" s="1" t="n">
        <v>44139</v>
      </c>
      <c r="C148" s="1" t="n">
        <v>45783</v>
      </c>
      <c r="D148" t="inlineStr">
        <is>
          <t>SÖDERMANLANDS LÄN</t>
        </is>
      </c>
      <c r="E148" t="inlineStr">
        <is>
          <t>GNESTA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59117-2020</t>
        </is>
      </c>
      <c r="B149" s="1" t="n">
        <v>44147</v>
      </c>
      <c r="C149" s="1" t="n">
        <v>45783</v>
      </c>
      <c r="D149" t="inlineStr">
        <is>
          <t>SÖDERMANLANDS LÄN</t>
        </is>
      </c>
      <c r="E149" t="inlineStr">
        <is>
          <t>GNESTA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62142-2020</t>
        </is>
      </c>
      <c r="B150" s="1" t="n">
        <v>44159</v>
      </c>
      <c r="C150" s="1" t="n">
        <v>45783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62372-2020</t>
        </is>
      </c>
      <c r="B151" s="1" t="n">
        <v>44160</v>
      </c>
      <c r="C151" s="1" t="n">
        <v>45783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66353-2020</t>
        </is>
      </c>
      <c r="B152" s="1" t="n">
        <v>44176</v>
      </c>
      <c r="C152" s="1" t="n">
        <v>45783</v>
      </c>
      <c r="D152" t="inlineStr">
        <is>
          <t>SÖDERMANLANDS LÄN</t>
        </is>
      </c>
      <c r="E152" t="inlineStr">
        <is>
          <t>GNESTA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67856-2020</t>
        </is>
      </c>
      <c r="B153" s="1" t="n">
        <v>44182</v>
      </c>
      <c r="C153" s="1" t="n">
        <v>45783</v>
      </c>
      <c r="D153" t="inlineStr">
        <is>
          <t>SÖDERMANLANDS LÄN</t>
        </is>
      </c>
      <c r="E153" t="inlineStr">
        <is>
          <t>GNESTA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68698-2020</t>
        </is>
      </c>
      <c r="B154" s="1" t="n">
        <v>44187</v>
      </c>
      <c r="C154" s="1" t="n">
        <v>45783</v>
      </c>
      <c r="D154" t="inlineStr">
        <is>
          <t>SÖDERMANLANDS LÄN</t>
        </is>
      </c>
      <c r="E154" t="inlineStr">
        <is>
          <t>GNESTA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162-2021</t>
        </is>
      </c>
      <c r="B155" s="1" t="n">
        <v>44200</v>
      </c>
      <c r="C155" s="1" t="n">
        <v>45783</v>
      </c>
      <c r="D155" t="inlineStr">
        <is>
          <t>SÖDERMANLANDS LÄN</t>
        </is>
      </c>
      <c r="E155" t="inlineStr">
        <is>
          <t>GNESTA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1038-2021</t>
        </is>
      </c>
      <c r="B156" s="1" t="n">
        <v>44207</v>
      </c>
      <c r="C156" s="1" t="n">
        <v>45783</v>
      </c>
      <c r="D156" t="inlineStr">
        <is>
          <t>SÖDERMANLANDS LÄN</t>
        </is>
      </c>
      <c r="E156" t="inlineStr">
        <is>
          <t>GNESTA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4447-2021</t>
        </is>
      </c>
      <c r="B157" s="1" t="n">
        <v>44224</v>
      </c>
      <c r="C157" s="1" t="n">
        <v>45783</v>
      </c>
      <c r="D157" t="inlineStr">
        <is>
          <t>SÖDERMANLANDS LÄN</t>
        </is>
      </c>
      <c r="E157" t="inlineStr">
        <is>
          <t>GNESTA</t>
        </is>
      </c>
      <c r="F157" t="inlineStr">
        <is>
          <t>Övriga Aktiebolag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6415-2021</t>
        </is>
      </c>
      <c r="B158" s="1" t="n">
        <v>44235</v>
      </c>
      <c r="C158" s="1" t="n">
        <v>45783</v>
      </c>
      <c r="D158" t="inlineStr">
        <is>
          <t>SÖDERMANLANDS LÄN</t>
        </is>
      </c>
      <c r="E158" t="inlineStr">
        <is>
          <t>GNESTA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7386-2021</t>
        </is>
      </c>
      <c r="B159" s="1" t="n">
        <v>44239</v>
      </c>
      <c r="C159" s="1" t="n">
        <v>45783</v>
      </c>
      <c r="D159" t="inlineStr">
        <is>
          <t>SÖDERMANLANDS LÄN</t>
        </is>
      </c>
      <c r="E159" t="inlineStr">
        <is>
          <t>GNESTA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7385-2021</t>
        </is>
      </c>
      <c r="B160" s="1" t="n">
        <v>44239</v>
      </c>
      <c r="C160" s="1" t="n">
        <v>45783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8443-2021</t>
        </is>
      </c>
      <c r="B161" s="1" t="n">
        <v>44245</v>
      </c>
      <c r="C161" s="1" t="n">
        <v>45783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8457-2021</t>
        </is>
      </c>
      <c r="B162" s="1" t="n">
        <v>44245</v>
      </c>
      <c r="C162" s="1" t="n">
        <v>45783</v>
      </c>
      <c r="D162" t="inlineStr">
        <is>
          <t>SÖDERMANLANDS LÄN</t>
        </is>
      </c>
      <c r="E162" t="inlineStr">
        <is>
          <t>GNESTA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8992-2021</t>
        </is>
      </c>
      <c r="B163" s="1" t="n">
        <v>44246</v>
      </c>
      <c r="C163" s="1" t="n">
        <v>45783</v>
      </c>
      <c r="D163" t="inlineStr">
        <is>
          <t>SÖDERMANLANDS LÄN</t>
        </is>
      </c>
      <c r="E163" t="inlineStr">
        <is>
          <t>GNESTA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9038-2021</t>
        </is>
      </c>
      <c r="B164" s="1" t="n">
        <v>44246</v>
      </c>
      <c r="C164" s="1" t="n">
        <v>45783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9047-2021</t>
        </is>
      </c>
      <c r="B165" s="1" t="n">
        <v>44246</v>
      </c>
      <c r="C165" s="1" t="n">
        <v>45783</v>
      </c>
      <c r="D165" t="inlineStr">
        <is>
          <t>SÖDERMANLANDS LÄN</t>
        </is>
      </c>
      <c r="E165" t="inlineStr">
        <is>
          <t>GNESTA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9575-2021</t>
        </is>
      </c>
      <c r="B166" s="1" t="n">
        <v>44251</v>
      </c>
      <c r="C166" s="1" t="n">
        <v>45783</v>
      </c>
      <c r="D166" t="inlineStr">
        <is>
          <t>SÖDERMANLANDS LÄN</t>
        </is>
      </c>
      <c r="E166" t="inlineStr">
        <is>
          <t>GNESTA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11152-2021</t>
        </is>
      </c>
      <c r="B167" s="1" t="n">
        <v>44261</v>
      </c>
      <c r="C167" s="1" t="n">
        <v>45783</v>
      </c>
      <c r="D167" t="inlineStr">
        <is>
          <t>SÖDERMANLANDS LÄN</t>
        </is>
      </c>
      <c r="E167" t="inlineStr">
        <is>
          <t>GNESTA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11703-2021</t>
        </is>
      </c>
      <c r="B168" s="1" t="n">
        <v>44264</v>
      </c>
      <c r="C168" s="1" t="n">
        <v>45783</v>
      </c>
      <c r="D168" t="inlineStr">
        <is>
          <t>SÖDERMANLANDS LÄN</t>
        </is>
      </c>
      <c r="E168" t="inlineStr">
        <is>
          <t>GNESTA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11760-2021</t>
        </is>
      </c>
      <c r="B169" s="1" t="n">
        <v>44265</v>
      </c>
      <c r="C169" s="1" t="n">
        <v>45783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11878-2021</t>
        </is>
      </c>
      <c r="B170" s="1" t="n">
        <v>44265</v>
      </c>
      <c r="C170" s="1" t="n">
        <v>45783</v>
      </c>
      <c r="D170" t="inlineStr">
        <is>
          <t>SÖDERMANLANDS LÄN</t>
        </is>
      </c>
      <c r="E170" t="inlineStr">
        <is>
          <t>GNESTA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14616-2021</t>
        </is>
      </c>
      <c r="B171" s="1" t="n">
        <v>44280</v>
      </c>
      <c r="C171" s="1" t="n">
        <v>45783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14614-2021</t>
        </is>
      </c>
      <c r="B172" s="1" t="n">
        <v>44280</v>
      </c>
      <c r="C172" s="1" t="n">
        <v>45783</v>
      </c>
      <c r="D172" t="inlineStr">
        <is>
          <t>SÖDERMANLANDS LÄN</t>
        </is>
      </c>
      <c r="E172" t="inlineStr">
        <is>
          <t>GNESTA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15531-2021</t>
        </is>
      </c>
      <c r="B173" s="1" t="n">
        <v>44285</v>
      </c>
      <c r="C173" s="1" t="n">
        <v>45783</v>
      </c>
      <c r="D173" t="inlineStr">
        <is>
          <t>SÖDERMANLANDS LÄN</t>
        </is>
      </c>
      <c r="E173" t="inlineStr">
        <is>
          <t>GNESTA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15603-2021</t>
        </is>
      </c>
      <c r="B174" s="1" t="n">
        <v>44285</v>
      </c>
      <c r="C174" s="1" t="n">
        <v>45783</v>
      </c>
      <c r="D174" t="inlineStr">
        <is>
          <t>SÖDERMANLANDS LÄN</t>
        </is>
      </c>
      <c r="E174" t="inlineStr">
        <is>
          <t>GNESTA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16257-2021</t>
        </is>
      </c>
      <c r="B175" s="1" t="n">
        <v>44287</v>
      </c>
      <c r="C175" s="1" t="n">
        <v>45783</v>
      </c>
      <c r="D175" t="inlineStr">
        <is>
          <t>SÖDERMANLANDS LÄN</t>
        </is>
      </c>
      <c r="E175" t="inlineStr">
        <is>
          <t>GNESTA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16221-2021</t>
        </is>
      </c>
      <c r="B176" s="1" t="n">
        <v>44287</v>
      </c>
      <c r="C176" s="1" t="n">
        <v>45783</v>
      </c>
      <c r="D176" t="inlineStr">
        <is>
          <t>SÖDERMANLANDS LÄN</t>
        </is>
      </c>
      <c r="E176" t="inlineStr">
        <is>
          <t>GNESTA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16287-2021</t>
        </is>
      </c>
      <c r="B177" s="1" t="n">
        <v>44292</v>
      </c>
      <c r="C177" s="1" t="n">
        <v>45783</v>
      </c>
      <c r="D177" t="inlineStr">
        <is>
          <t>SÖDERMANLANDS LÄN</t>
        </is>
      </c>
      <c r="E177" t="inlineStr">
        <is>
          <t>GNESTA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18695-2021</t>
        </is>
      </c>
      <c r="B178" s="1" t="n">
        <v>44307</v>
      </c>
      <c r="C178" s="1" t="n">
        <v>45783</v>
      </c>
      <c r="D178" t="inlineStr">
        <is>
          <t>SÖDERMANLANDS LÄN</t>
        </is>
      </c>
      <c r="E178" t="inlineStr">
        <is>
          <t>GNESTA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19613-2021</t>
        </is>
      </c>
      <c r="B179" s="1" t="n">
        <v>44312</v>
      </c>
      <c r="C179" s="1" t="n">
        <v>45783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19681-2021</t>
        </is>
      </c>
      <c r="B180" s="1" t="n">
        <v>44312</v>
      </c>
      <c r="C180" s="1" t="n">
        <v>45783</v>
      </c>
      <c r="D180" t="inlineStr">
        <is>
          <t>SÖDERMANLANDS LÄN</t>
        </is>
      </c>
      <c r="E180" t="inlineStr">
        <is>
          <t>GNESTA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21835-2021</t>
        </is>
      </c>
      <c r="B181" s="1" t="n">
        <v>44322</v>
      </c>
      <c r="C181" s="1" t="n">
        <v>45783</v>
      </c>
      <c r="D181" t="inlineStr">
        <is>
          <t>SÖDERMANLANDS LÄN</t>
        </is>
      </c>
      <c r="E181" t="inlineStr">
        <is>
          <t>GNESTA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21762-2021</t>
        </is>
      </c>
      <c r="B182" s="1" t="n">
        <v>44322</v>
      </c>
      <c r="C182" s="1" t="n">
        <v>45783</v>
      </c>
      <c r="D182" t="inlineStr">
        <is>
          <t>SÖDERMANLANDS LÄN</t>
        </is>
      </c>
      <c r="E182" t="inlineStr">
        <is>
          <t>GNESTA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21764-2021</t>
        </is>
      </c>
      <c r="B183" s="1" t="n">
        <v>44322</v>
      </c>
      <c r="C183" s="1" t="n">
        <v>45783</v>
      </c>
      <c r="D183" t="inlineStr">
        <is>
          <t>SÖDERMANLANDS LÄN</t>
        </is>
      </c>
      <c r="E183" t="inlineStr">
        <is>
          <t>GNESTA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22046-2021</t>
        </is>
      </c>
      <c r="B184" s="1" t="n">
        <v>44322</v>
      </c>
      <c r="C184" s="1" t="n">
        <v>45783</v>
      </c>
      <c r="D184" t="inlineStr">
        <is>
          <t>SÖDERMANLANDS LÄN</t>
        </is>
      </c>
      <c r="E184" t="inlineStr">
        <is>
          <t>GNESTA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22044-2021</t>
        </is>
      </c>
      <c r="B185" s="1" t="n">
        <v>44322</v>
      </c>
      <c r="C185" s="1" t="n">
        <v>45783</v>
      </c>
      <c r="D185" t="inlineStr">
        <is>
          <t>SÖDERMANLANDS LÄN</t>
        </is>
      </c>
      <c r="E185" t="inlineStr">
        <is>
          <t>GNESTA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23600-2021</t>
        </is>
      </c>
      <c r="B186" s="1" t="n">
        <v>44334</v>
      </c>
      <c r="C186" s="1" t="n">
        <v>45783</v>
      </c>
      <c r="D186" t="inlineStr">
        <is>
          <t>SÖDERMANLANDS LÄN</t>
        </is>
      </c>
      <c r="E186" t="inlineStr">
        <is>
          <t>GNESTA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25179-2021</t>
        </is>
      </c>
      <c r="B187" s="1" t="n">
        <v>44342</v>
      </c>
      <c r="C187" s="1" t="n">
        <v>45783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26307-2021</t>
        </is>
      </c>
      <c r="B188" s="1" t="n">
        <v>44347</v>
      </c>
      <c r="C188" s="1" t="n">
        <v>45783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27206-2021</t>
        </is>
      </c>
      <c r="B189" s="1" t="n">
        <v>44350</v>
      </c>
      <c r="C189" s="1" t="n">
        <v>45783</v>
      </c>
      <c r="D189" t="inlineStr">
        <is>
          <t>SÖDERMANLANDS LÄN</t>
        </is>
      </c>
      <c r="E189" t="inlineStr">
        <is>
          <t>GNESTA</t>
        </is>
      </c>
      <c r="G189" t="n">
        <v>21.4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36621-2021</t>
        </is>
      </c>
      <c r="B190" s="1" t="n">
        <v>44391</v>
      </c>
      <c r="C190" s="1" t="n">
        <v>45783</v>
      </c>
      <c r="D190" t="inlineStr">
        <is>
          <t>SÖDERMANLANDS LÄN</t>
        </is>
      </c>
      <c r="E190" t="inlineStr">
        <is>
          <t>GNESTA</t>
        </is>
      </c>
      <c r="G190" t="n">
        <v>10.5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37282-2021</t>
        </is>
      </c>
      <c r="B191" s="1" t="n">
        <v>44397</v>
      </c>
      <c r="C191" s="1" t="n">
        <v>45783</v>
      </c>
      <c r="D191" t="inlineStr">
        <is>
          <t>SÖDERMANLANDS LÄN</t>
        </is>
      </c>
      <c r="E191" t="inlineStr">
        <is>
          <t>GNESTA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39018-2021</t>
        </is>
      </c>
      <c r="B192" s="1" t="n">
        <v>44412</v>
      </c>
      <c r="C192" s="1" t="n">
        <v>45783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39456-2021</t>
        </is>
      </c>
      <c r="B193" s="1" t="n">
        <v>44414</v>
      </c>
      <c r="C193" s="1" t="n">
        <v>45783</v>
      </c>
      <c r="D193" t="inlineStr">
        <is>
          <t>SÖDERMANLANDS LÄN</t>
        </is>
      </c>
      <c r="E193" t="inlineStr">
        <is>
          <t>GNESTA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39461-2021</t>
        </is>
      </c>
      <c r="B194" s="1" t="n">
        <v>44414</v>
      </c>
      <c r="C194" s="1" t="n">
        <v>45783</v>
      </c>
      <c r="D194" t="inlineStr">
        <is>
          <t>SÖDERMANLANDS LÄN</t>
        </is>
      </c>
      <c r="E194" t="inlineStr">
        <is>
          <t>GNESTA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40395-2021</t>
        </is>
      </c>
      <c r="B195" s="1" t="n">
        <v>44419</v>
      </c>
      <c r="C195" s="1" t="n">
        <v>45783</v>
      </c>
      <c r="D195" t="inlineStr">
        <is>
          <t>SÖDERMANLANDS LÄN</t>
        </is>
      </c>
      <c r="E195" t="inlineStr">
        <is>
          <t>GNESTA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41104-2021</t>
        </is>
      </c>
      <c r="B196" s="1" t="n">
        <v>44423</v>
      </c>
      <c r="C196" s="1" t="n">
        <v>45783</v>
      </c>
      <c r="D196" t="inlineStr">
        <is>
          <t>SÖDERMANLANDS LÄN</t>
        </is>
      </c>
      <c r="E196" t="inlineStr">
        <is>
          <t>GNESTA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41103-2021</t>
        </is>
      </c>
      <c r="B197" s="1" t="n">
        <v>44423</v>
      </c>
      <c r="C197" s="1" t="n">
        <v>45783</v>
      </c>
      <c r="D197" t="inlineStr">
        <is>
          <t>SÖDERMANLANDS LÄN</t>
        </is>
      </c>
      <c r="E197" t="inlineStr">
        <is>
          <t>GNESTA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41600-2021</t>
        </is>
      </c>
      <c r="B198" s="1" t="n">
        <v>44425</v>
      </c>
      <c r="C198" s="1" t="n">
        <v>45783</v>
      </c>
      <c r="D198" t="inlineStr">
        <is>
          <t>SÖDERMANLANDS LÄN</t>
        </is>
      </c>
      <c r="E198" t="inlineStr">
        <is>
          <t>GNESTA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41728-2021</t>
        </is>
      </c>
      <c r="B199" s="1" t="n">
        <v>44425</v>
      </c>
      <c r="C199" s="1" t="n">
        <v>45783</v>
      </c>
      <c r="D199" t="inlineStr">
        <is>
          <t>SÖDERMANLANDS LÄN</t>
        </is>
      </c>
      <c r="E199" t="inlineStr">
        <is>
          <t>GNESTA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41745-2021</t>
        </is>
      </c>
      <c r="B200" s="1" t="n">
        <v>44425</v>
      </c>
      <c r="C200" s="1" t="n">
        <v>45783</v>
      </c>
      <c r="D200" t="inlineStr">
        <is>
          <t>SÖDERMANLANDS LÄN</t>
        </is>
      </c>
      <c r="E200" t="inlineStr">
        <is>
          <t>GNESTA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41968-2021</t>
        </is>
      </c>
      <c r="B201" s="1" t="n">
        <v>44425</v>
      </c>
      <c r="C201" s="1" t="n">
        <v>45783</v>
      </c>
      <c r="D201" t="inlineStr">
        <is>
          <t>SÖDERMANLANDS LÄN</t>
        </is>
      </c>
      <c r="E201" t="inlineStr">
        <is>
          <t>GNESTA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41955-2021</t>
        </is>
      </c>
      <c r="B202" s="1" t="n">
        <v>44426</v>
      </c>
      <c r="C202" s="1" t="n">
        <v>45783</v>
      </c>
      <c r="D202" t="inlineStr">
        <is>
          <t>SÖDERMANLANDS LÄN</t>
        </is>
      </c>
      <c r="E202" t="inlineStr">
        <is>
          <t>GNESTA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41914-2021</t>
        </is>
      </c>
      <c r="B203" s="1" t="n">
        <v>44426</v>
      </c>
      <c r="C203" s="1" t="n">
        <v>45783</v>
      </c>
      <c r="D203" t="inlineStr">
        <is>
          <t>SÖDERMANLANDS LÄN</t>
        </is>
      </c>
      <c r="E203" t="inlineStr">
        <is>
          <t>GNESTA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42428-2021</t>
        </is>
      </c>
      <c r="B204" s="1" t="n">
        <v>44427</v>
      </c>
      <c r="C204" s="1" t="n">
        <v>45783</v>
      </c>
      <c r="D204" t="inlineStr">
        <is>
          <t>SÖDERMANLANDS LÄN</t>
        </is>
      </c>
      <c r="E204" t="inlineStr">
        <is>
          <t>GNESTA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43035-2021</t>
        </is>
      </c>
      <c r="B205" s="1" t="n">
        <v>44431</v>
      </c>
      <c r="C205" s="1" t="n">
        <v>45783</v>
      </c>
      <c r="D205" t="inlineStr">
        <is>
          <t>SÖDERMANLANDS LÄN</t>
        </is>
      </c>
      <c r="E205" t="inlineStr">
        <is>
          <t>GNESTA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43178-2021</t>
        </is>
      </c>
      <c r="B206" s="1" t="n">
        <v>44431</v>
      </c>
      <c r="C206" s="1" t="n">
        <v>45783</v>
      </c>
      <c r="D206" t="inlineStr">
        <is>
          <t>SÖDERMANLANDS LÄN</t>
        </is>
      </c>
      <c r="E206" t="inlineStr">
        <is>
          <t>GNESTA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44943-2021</t>
        </is>
      </c>
      <c r="B207" s="1" t="n">
        <v>44438</v>
      </c>
      <c r="C207" s="1" t="n">
        <v>45783</v>
      </c>
      <c r="D207" t="inlineStr">
        <is>
          <t>SÖDERMANLANDS LÄN</t>
        </is>
      </c>
      <c r="E207" t="inlineStr">
        <is>
          <t>GNESTA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46079-2021</t>
        </is>
      </c>
      <c r="B208" s="1" t="n">
        <v>44442</v>
      </c>
      <c r="C208" s="1" t="n">
        <v>45783</v>
      </c>
      <c r="D208" t="inlineStr">
        <is>
          <t>SÖDERMANLANDS LÄN</t>
        </is>
      </c>
      <c r="E208" t="inlineStr">
        <is>
          <t>GNESTA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46085-2021</t>
        </is>
      </c>
      <c r="B209" s="1" t="n">
        <v>44442</v>
      </c>
      <c r="C209" s="1" t="n">
        <v>45783</v>
      </c>
      <c r="D209" t="inlineStr">
        <is>
          <t>SÖDERMANLANDS LÄN</t>
        </is>
      </c>
      <c r="E209" t="inlineStr">
        <is>
          <t>GNESTA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47314-2021</t>
        </is>
      </c>
      <c r="B210" s="1" t="n">
        <v>44447</v>
      </c>
      <c r="C210" s="1" t="n">
        <v>45783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48437-2021</t>
        </is>
      </c>
      <c r="B211" s="1" t="n">
        <v>44452</v>
      </c>
      <c r="C211" s="1" t="n">
        <v>45783</v>
      </c>
      <c r="D211" t="inlineStr">
        <is>
          <t>SÖDERMANLANDS LÄN</t>
        </is>
      </c>
      <c r="E211" t="inlineStr">
        <is>
          <t>GNESTA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48738-2021</t>
        </is>
      </c>
      <c r="B212" s="1" t="n">
        <v>44452</v>
      </c>
      <c r="C212" s="1" t="n">
        <v>45783</v>
      </c>
      <c r="D212" t="inlineStr">
        <is>
          <t>SÖDERMANLANDS LÄN</t>
        </is>
      </c>
      <c r="E212" t="inlineStr">
        <is>
          <t>GNESTA</t>
        </is>
      </c>
      <c r="F212" t="inlineStr">
        <is>
          <t>Kyrkan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49885-2021</t>
        </is>
      </c>
      <c r="B213" s="1" t="n">
        <v>44455</v>
      </c>
      <c r="C213" s="1" t="n">
        <v>45783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51339-2021</t>
        </is>
      </c>
      <c r="B214" s="1" t="n">
        <v>44461</v>
      </c>
      <c r="C214" s="1" t="n">
        <v>45783</v>
      </c>
      <c r="D214" t="inlineStr">
        <is>
          <t>SÖDERMANLANDS LÄN</t>
        </is>
      </c>
      <c r="E214" t="inlineStr">
        <is>
          <t>GNESTA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53049-2021</t>
        </is>
      </c>
      <c r="B215" s="1" t="n">
        <v>44467</v>
      </c>
      <c r="C215" s="1" t="n">
        <v>45783</v>
      </c>
      <c r="D215" t="inlineStr">
        <is>
          <t>SÖDERMANLANDS LÄN</t>
        </is>
      </c>
      <c r="E215" t="inlineStr">
        <is>
          <t>GNESTA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53492-2021</t>
        </is>
      </c>
      <c r="B216" s="1" t="n">
        <v>44468</v>
      </c>
      <c r="C216" s="1" t="n">
        <v>45783</v>
      </c>
      <c r="D216" t="inlineStr">
        <is>
          <t>SÖDERMANLANDS LÄN</t>
        </is>
      </c>
      <c r="E216" t="inlineStr">
        <is>
          <t>GNESTA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54702-2021</t>
        </is>
      </c>
      <c r="B217" s="1" t="n">
        <v>44473</v>
      </c>
      <c r="C217" s="1" t="n">
        <v>45783</v>
      </c>
      <c r="D217" t="inlineStr">
        <is>
          <t>SÖDERMANLANDS LÄN</t>
        </is>
      </c>
      <c r="E217" t="inlineStr">
        <is>
          <t>GNESTA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55632-2021</t>
        </is>
      </c>
      <c r="B218" s="1" t="n">
        <v>44475</v>
      </c>
      <c r="C218" s="1" t="n">
        <v>45783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56505-2021</t>
        </is>
      </c>
      <c r="B219" s="1" t="n">
        <v>44480</v>
      </c>
      <c r="C219" s="1" t="n">
        <v>45783</v>
      </c>
      <c r="D219" t="inlineStr">
        <is>
          <t>SÖDERMANLANDS LÄN</t>
        </is>
      </c>
      <c r="E219" t="inlineStr">
        <is>
          <t>GNESTA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56824-2021</t>
        </is>
      </c>
      <c r="B220" s="1" t="n">
        <v>44481</v>
      </c>
      <c r="C220" s="1" t="n">
        <v>45783</v>
      </c>
      <c r="D220" t="inlineStr">
        <is>
          <t>SÖDERMANLANDS LÄN</t>
        </is>
      </c>
      <c r="E220" t="inlineStr">
        <is>
          <t>GNESTA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56815-2021</t>
        </is>
      </c>
      <c r="B221" s="1" t="n">
        <v>44481</v>
      </c>
      <c r="C221" s="1" t="n">
        <v>45783</v>
      </c>
      <c r="D221" t="inlineStr">
        <is>
          <t>SÖDERMANLANDS LÄN</t>
        </is>
      </c>
      <c r="E221" t="inlineStr">
        <is>
          <t>GNESTA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56927-2021</t>
        </is>
      </c>
      <c r="B222" s="1" t="n">
        <v>44481</v>
      </c>
      <c r="C222" s="1" t="n">
        <v>45783</v>
      </c>
      <c r="D222" t="inlineStr">
        <is>
          <t>SÖDERMANLANDS LÄN</t>
        </is>
      </c>
      <c r="E222" t="inlineStr">
        <is>
          <t>GNESTA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56976-2021</t>
        </is>
      </c>
      <c r="B223" s="1" t="n">
        <v>44481</v>
      </c>
      <c r="C223" s="1" t="n">
        <v>45783</v>
      </c>
      <c r="D223" t="inlineStr">
        <is>
          <t>SÖDERMANLANDS LÄN</t>
        </is>
      </c>
      <c r="E223" t="inlineStr">
        <is>
          <t>GNESTA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57139-2021</t>
        </is>
      </c>
      <c r="B224" s="1" t="n">
        <v>44482</v>
      </c>
      <c r="C224" s="1" t="n">
        <v>45783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57601-2021</t>
        </is>
      </c>
      <c r="B225" s="1" t="n">
        <v>44484</v>
      </c>
      <c r="C225" s="1" t="n">
        <v>45783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57612-2021</t>
        </is>
      </c>
      <c r="B226" s="1" t="n">
        <v>44484</v>
      </c>
      <c r="C226" s="1" t="n">
        <v>45783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57882-2021</t>
        </is>
      </c>
      <c r="B227" s="1" t="n">
        <v>44485</v>
      </c>
      <c r="C227" s="1" t="n">
        <v>45783</v>
      </c>
      <c r="D227" t="inlineStr">
        <is>
          <t>SÖDERMANLANDS LÄN</t>
        </is>
      </c>
      <c r="E227" t="inlineStr">
        <is>
          <t>GNESTA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59287-2021</t>
        </is>
      </c>
      <c r="B228" s="1" t="n">
        <v>44490</v>
      </c>
      <c r="C228" s="1" t="n">
        <v>45783</v>
      </c>
      <c r="D228" t="inlineStr">
        <is>
          <t>SÖDERMANLANDS LÄN</t>
        </is>
      </c>
      <c r="E228" t="inlineStr">
        <is>
          <t>GNESTA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59385-2021</t>
        </is>
      </c>
      <c r="B229" s="1" t="n">
        <v>44491</v>
      </c>
      <c r="C229" s="1" t="n">
        <v>45783</v>
      </c>
      <c r="D229" t="inlineStr">
        <is>
          <t>SÖDERMANLANDS LÄN</t>
        </is>
      </c>
      <c r="E229" t="inlineStr">
        <is>
          <t>GNESTA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59616-2021</t>
        </is>
      </c>
      <c r="B230" s="1" t="n">
        <v>44491</v>
      </c>
      <c r="C230" s="1" t="n">
        <v>45783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59619-2021</t>
        </is>
      </c>
      <c r="B231" s="1" t="n">
        <v>44491</v>
      </c>
      <c r="C231" s="1" t="n">
        <v>45783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60919-2021</t>
        </is>
      </c>
      <c r="B232" s="1" t="n">
        <v>44497</v>
      </c>
      <c r="C232" s="1" t="n">
        <v>45783</v>
      </c>
      <c r="D232" t="inlineStr">
        <is>
          <t>SÖDERMANLANDS LÄN</t>
        </is>
      </c>
      <c r="E232" t="inlineStr">
        <is>
          <t>GNESTA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67479-2021</t>
        </is>
      </c>
      <c r="B233" s="1" t="n">
        <v>44524</v>
      </c>
      <c r="C233" s="1" t="n">
        <v>45783</v>
      </c>
      <c r="D233" t="inlineStr">
        <is>
          <t>SÖDERMANLANDS LÄN</t>
        </is>
      </c>
      <c r="E233" t="inlineStr">
        <is>
          <t>GNESTA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68362-2021</t>
        </is>
      </c>
      <c r="B234" s="1" t="n">
        <v>44528</v>
      </c>
      <c r="C234" s="1" t="n">
        <v>45783</v>
      </c>
      <c r="D234" t="inlineStr">
        <is>
          <t>SÖDERMANLANDS LÄN</t>
        </is>
      </c>
      <c r="E234" t="inlineStr">
        <is>
          <t>GNESTA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68687-2021</t>
        </is>
      </c>
      <c r="B235" s="1" t="n">
        <v>44529</v>
      </c>
      <c r="C235" s="1" t="n">
        <v>45783</v>
      </c>
      <c r="D235" t="inlineStr">
        <is>
          <t>SÖDERMANLANDS LÄN</t>
        </is>
      </c>
      <c r="E235" t="inlineStr">
        <is>
          <t>GNESTA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68389-2021</t>
        </is>
      </c>
      <c r="B236" s="1" t="n">
        <v>44529</v>
      </c>
      <c r="C236" s="1" t="n">
        <v>45783</v>
      </c>
      <c r="D236" t="inlineStr">
        <is>
          <t>SÖDERMANLANDS LÄN</t>
        </is>
      </c>
      <c r="E236" t="inlineStr">
        <is>
          <t>GNESTA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68869-2021</t>
        </is>
      </c>
      <c r="B237" s="1" t="n">
        <v>44529</v>
      </c>
      <c r="C237" s="1" t="n">
        <v>45783</v>
      </c>
      <c r="D237" t="inlineStr">
        <is>
          <t>SÖDERMANLANDS LÄN</t>
        </is>
      </c>
      <c r="E237" t="inlineStr">
        <is>
          <t>GNESTA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69922-2021</t>
        </is>
      </c>
      <c r="B238" s="1" t="n">
        <v>44532</v>
      </c>
      <c r="C238" s="1" t="n">
        <v>45783</v>
      </c>
      <c r="D238" t="inlineStr">
        <is>
          <t>SÖDERMANLANDS LÄN</t>
        </is>
      </c>
      <c r="E238" t="inlineStr">
        <is>
          <t>GNESTA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70782-2021</t>
        </is>
      </c>
      <c r="B239" s="1" t="n">
        <v>44537</v>
      </c>
      <c r="C239" s="1" t="n">
        <v>45783</v>
      </c>
      <c r="D239" t="inlineStr">
        <is>
          <t>SÖDERMANLANDS LÄN</t>
        </is>
      </c>
      <c r="E239" t="inlineStr">
        <is>
          <t>GNESTA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71150-2021</t>
        </is>
      </c>
      <c r="B240" s="1" t="n">
        <v>44539</v>
      </c>
      <c r="C240" s="1" t="n">
        <v>45783</v>
      </c>
      <c r="D240" t="inlineStr">
        <is>
          <t>SÖDERMANLANDS LÄN</t>
        </is>
      </c>
      <c r="E240" t="inlineStr">
        <is>
          <t>GNESTA</t>
        </is>
      </c>
      <c r="F240" t="inlineStr">
        <is>
          <t>Allmännings- och besparingsskogar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71772-2021</t>
        </is>
      </c>
      <c r="B241" s="1" t="n">
        <v>44543</v>
      </c>
      <c r="C241" s="1" t="n">
        <v>45783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72341-2021</t>
        </is>
      </c>
      <c r="B242" s="1" t="n">
        <v>44545</v>
      </c>
      <c r="C242" s="1" t="n">
        <v>45783</v>
      </c>
      <c r="D242" t="inlineStr">
        <is>
          <t>SÖDERMANLANDS LÄN</t>
        </is>
      </c>
      <c r="E242" t="inlineStr">
        <is>
          <t>GNESTA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72529-2021</t>
        </is>
      </c>
      <c r="B243" s="1" t="n">
        <v>44546</v>
      </c>
      <c r="C243" s="1" t="n">
        <v>45783</v>
      </c>
      <c r="D243" t="inlineStr">
        <is>
          <t>SÖDERMANLANDS LÄN</t>
        </is>
      </c>
      <c r="E243" t="inlineStr">
        <is>
          <t>GNESTA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73063-2021</t>
        </is>
      </c>
      <c r="B244" s="1" t="n">
        <v>44546</v>
      </c>
      <c r="C244" s="1" t="n">
        <v>45783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73049-2021</t>
        </is>
      </c>
      <c r="B245" s="1" t="n">
        <v>44546</v>
      </c>
      <c r="C245" s="1" t="n">
        <v>45783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73493-2021</t>
        </is>
      </c>
      <c r="B246" s="1" t="n">
        <v>44551</v>
      </c>
      <c r="C246" s="1" t="n">
        <v>45783</v>
      </c>
      <c r="D246" t="inlineStr">
        <is>
          <t>SÖDERMANLANDS LÄN</t>
        </is>
      </c>
      <c r="E246" t="inlineStr">
        <is>
          <t>GNESTA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73482-2021</t>
        </is>
      </c>
      <c r="B247" s="1" t="n">
        <v>44551</v>
      </c>
      <c r="C247" s="1" t="n">
        <v>45783</v>
      </c>
      <c r="D247" t="inlineStr">
        <is>
          <t>SÖDERMANLANDS LÄN</t>
        </is>
      </c>
      <c r="E247" t="inlineStr">
        <is>
          <t>GNESTA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954-2022</t>
        </is>
      </c>
      <c r="B248" s="1" t="n">
        <v>44571</v>
      </c>
      <c r="C248" s="1" t="n">
        <v>45783</v>
      </c>
      <c r="D248" t="inlineStr">
        <is>
          <t>SÖDERMANLANDS LÄN</t>
        </is>
      </c>
      <c r="E248" t="inlineStr">
        <is>
          <t>GNESTA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1216-2022</t>
        </is>
      </c>
      <c r="B249" s="1" t="n">
        <v>44572</v>
      </c>
      <c r="C249" s="1" t="n">
        <v>45783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1549-2022</t>
        </is>
      </c>
      <c r="B250" s="1" t="n">
        <v>44573</v>
      </c>
      <c r="C250" s="1" t="n">
        <v>45783</v>
      </c>
      <c r="D250" t="inlineStr">
        <is>
          <t>SÖDERMANLANDS LÄN</t>
        </is>
      </c>
      <c r="E250" t="inlineStr">
        <is>
          <t>GNESTA</t>
        </is>
      </c>
      <c r="G250" t="n">
        <v>32.6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2276-2022</t>
        </is>
      </c>
      <c r="B251" s="1" t="n">
        <v>44578</v>
      </c>
      <c r="C251" s="1" t="n">
        <v>45783</v>
      </c>
      <c r="D251" t="inlineStr">
        <is>
          <t>SÖDERMANLANDS LÄN</t>
        </is>
      </c>
      <c r="E251" t="inlineStr">
        <is>
          <t>GNESTA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2464-2022</t>
        </is>
      </c>
      <c r="B252" s="1" t="n">
        <v>44579</v>
      </c>
      <c r="C252" s="1" t="n">
        <v>45783</v>
      </c>
      <c r="D252" t="inlineStr">
        <is>
          <t>SÖDERMANLANDS LÄN</t>
        </is>
      </c>
      <c r="E252" t="inlineStr">
        <is>
          <t>GNESTA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2476-2022</t>
        </is>
      </c>
      <c r="B253" s="1" t="n">
        <v>44579</v>
      </c>
      <c r="C253" s="1" t="n">
        <v>45783</v>
      </c>
      <c r="D253" t="inlineStr">
        <is>
          <t>SÖDERMANLANDS LÄN</t>
        </is>
      </c>
      <c r="E253" t="inlineStr">
        <is>
          <t>GNESTA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2982-2022</t>
        </is>
      </c>
      <c r="B254" s="1" t="n">
        <v>44581</v>
      </c>
      <c r="C254" s="1" t="n">
        <v>45783</v>
      </c>
      <c r="D254" t="inlineStr">
        <is>
          <t>SÖDERMANLANDS LÄN</t>
        </is>
      </c>
      <c r="E254" t="inlineStr">
        <is>
          <t>GNESTA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2983-2022</t>
        </is>
      </c>
      <c r="B255" s="1" t="n">
        <v>44581</v>
      </c>
      <c r="C255" s="1" t="n">
        <v>45783</v>
      </c>
      <c r="D255" t="inlineStr">
        <is>
          <t>SÖDERMANLANDS LÄN</t>
        </is>
      </c>
      <c r="E255" t="inlineStr">
        <is>
          <t>GNESTA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3280-2022</t>
        </is>
      </c>
      <c r="B256" s="1" t="n">
        <v>44584</v>
      </c>
      <c r="C256" s="1" t="n">
        <v>45783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3863-2022</t>
        </is>
      </c>
      <c r="B257" s="1" t="n">
        <v>44587</v>
      </c>
      <c r="C257" s="1" t="n">
        <v>45783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3919-2022</t>
        </is>
      </c>
      <c r="B258" s="1" t="n">
        <v>44587</v>
      </c>
      <c r="C258" s="1" t="n">
        <v>45783</v>
      </c>
      <c r="D258" t="inlineStr">
        <is>
          <t>SÖDERMANLANDS LÄN</t>
        </is>
      </c>
      <c r="E258" t="inlineStr">
        <is>
          <t>GNESTA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4438-2022</t>
        </is>
      </c>
      <c r="B259" s="1" t="n">
        <v>44589</v>
      </c>
      <c r="C259" s="1" t="n">
        <v>45783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4429-2022</t>
        </is>
      </c>
      <c r="B260" s="1" t="n">
        <v>44589</v>
      </c>
      <c r="C260" s="1" t="n">
        <v>45783</v>
      </c>
      <c r="D260" t="inlineStr">
        <is>
          <t>SÖDERMANLANDS LÄN</t>
        </is>
      </c>
      <c r="E260" t="inlineStr">
        <is>
          <t>GNESTA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4469-2022</t>
        </is>
      </c>
      <c r="B261" s="1" t="n">
        <v>44589</v>
      </c>
      <c r="C261" s="1" t="n">
        <v>45783</v>
      </c>
      <c r="D261" t="inlineStr">
        <is>
          <t>SÖDERMANLANDS LÄN</t>
        </is>
      </c>
      <c r="E261" t="inlineStr">
        <is>
          <t>GNESTA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4474-2022</t>
        </is>
      </c>
      <c r="B262" s="1" t="n">
        <v>44589</v>
      </c>
      <c r="C262" s="1" t="n">
        <v>45783</v>
      </c>
      <c r="D262" t="inlineStr">
        <is>
          <t>SÖDERMANLANDS LÄN</t>
        </is>
      </c>
      <c r="E262" t="inlineStr">
        <is>
          <t>GNESTA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4383-2022</t>
        </is>
      </c>
      <c r="B263" s="1" t="n">
        <v>44589</v>
      </c>
      <c r="C263" s="1" t="n">
        <v>45783</v>
      </c>
      <c r="D263" t="inlineStr">
        <is>
          <t>SÖDERMANLANDS LÄN</t>
        </is>
      </c>
      <c r="E263" t="inlineStr">
        <is>
          <t>GNESTA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4391-2022</t>
        </is>
      </c>
      <c r="B264" s="1" t="n">
        <v>44589</v>
      </c>
      <c r="C264" s="1" t="n">
        <v>45783</v>
      </c>
      <c r="D264" t="inlineStr">
        <is>
          <t>SÖDERMANLANDS LÄN</t>
        </is>
      </c>
      <c r="E264" t="inlineStr">
        <is>
          <t>GNESTA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4796-2022</t>
        </is>
      </c>
      <c r="B265" s="1" t="n">
        <v>44592</v>
      </c>
      <c r="C265" s="1" t="n">
        <v>45783</v>
      </c>
      <c r="D265" t="inlineStr">
        <is>
          <t>SÖDERMANLANDS LÄN</t>
        </is>
      </c>
      <c r="E265" t="inlineStr">
        <is>
          <t>GNESTA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5301-2022</t>
        </is>
      </c>
      <c r="B266" s="1" t="n">
        <v>44594</v>
      </c>
      <c r="C266" s="1" t="n">
        <v>45783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5270-2022</t>
        </is>
      </c>
      <c r="B267" s="1" t="n">
        <v>44594</v>
      </c>
      <c r="C267" s="1" t="n">
        <v>45783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5397-2022</t>
        </is>
      </c>
      <c r="B268" s="1" t="n">
        <v>44595</v>
      </c>
      <c r="C268" s="1" t="n">
        <v>45783</v>
      </c>
      <c r="D268" t="inlineStr">
        <is>
          <t>SÖDERMANLANDS LÄN</t>
        </is>
      </c>
      <c r="E268" t="inlineStr">
        <is>
          <t>GNESTA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6086-2022</t>
        </is>
      </c>
      <c r="B269" s="1" t="n">
        <v>44599</v>
      </c>
      <c r="C269" s="1" t="n">
        <v>45783</v>
      </c>
      <c r="D269" t="inlineStr">
        <is>
          <t>SÖDERMANLANDS LÄN</t>
        </is>
      </c>
      <c r="E269" t="inlineStr">
        <is>
          <t>GNESTA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6160-2022</t>
        </is>
      </c>
      <c r="B270" s="1" t="n">
        <v>44599</v>
      </c>
      <c r="C270" s="1" t="n">
        <v>45783</v>
      </c>
      <c r="D270" t="inlineStr">
        <is>
          <t>SÖDERMANLANDS LÄN</t>
        </is>
      </c>
      <c r="E270" t="inlineStr">
        <is>
          <t>GNESTA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6155-2022</t>
        </is>
      </c>
      <c r="B271" s="1" t="n">
        <v>44599</v>
      </c>
      <c r="C271" s="1" t="n">
        <v>45783</v>
      </c>
      <c r="D271" t="inlineStr">
        <is>
          <t>SÖDERMANLANDS LÄN</t>
        </is>
      </c>
      <c r="E271" t="inlineStr">
        <is>
          <t>GNESTA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7054-2022</t>
        </is>
      </c>
      <c r="B272" s="1" t="n">
        <v>44603</v>
      </c>
      <c r="C272" s="1" t="n">
        <v>45783</v>
      </c>
      <c r="D272" t="inlineStr">
        <is>
          <t>SÖDERMANLANDS LÄN</t>
        </is>
      </c>
      <c r="E272" t="inlineStr">
        <is>
          <t>GNESTA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7303-2022</t>
        </is>
      </c>
      <c r="B273" s="1" t="n">
        <v>44606</v>
      </c>
      <c r="C273" s="1" t="n">
        <v>45783</v>
      </c>
      <c r="D273" t="inlineStr">
        <is>
          <t>SÖDERMANLANDS LÄN</t>
        </is>
      </c>
      <c r="E273" t="inlineStr">
        <is>
          <t>GNESTA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7506-2022</t>
        </is>
      </c>
      <c r="B274" s="1" t="n">
        <v>44607</v>
      </c>
      <c r="C274" s="1" t="n">
        <v>45783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11929-2022</t>
        </is>
      </c>
      <c r="B275" s="1" t="n">
        <v>44635</v>
      </c>
      <c r="C275" s="1" t="n">
        <v>45783</v>
      </c>
      <c r="D275" t="inlineStr">
        <is>
          <t>SÖDERMANLANDS LÄN</t>
        </is>
      </c>
      <c r="E275" t="inlineStr">
        <is>
          <t>GNESTA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14078-2022</t>
        </is>
      </c>
      <c r="B276" s="1" t="n">
        <v>44650</v>
      </c>
      <c r="C276" s="1" t="n">
        <v>45783</v>
      </c>
      <c r="D276" t="inlineStr">
        <is>
          <t>SÖDERMANLANDS LÄN</t>
        </is>
      </c>
      <c r="E276" t="inlineStr">
        <is>
          <t>GNESTA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15105-2022</t>
        </is>
      </c>
      <c r="B277" s="1" t="n">
        <v>44657</v>
      </c>
      <c r="C277" s="1" t="n">
        <v>45783</v>
      </c>
      <c r="D277" t="inlineStr">
        <is>
          <t>SÖDERMANLANDS LÄN</t>
        </is>
      </c>
      <c r="E277" t="inlineStr">
        <is>
          <t>GNESTA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17305-2022</t>
        </is>
      </c>
      <c r="B278" s="1" t="n">
        <v>44678</v>
      </c>
      <c r="C278" s="1" t="n">
        <v>45783</v>
      </c>
      <c r="D278" t="inlineStr">
        <is>
          <t>SÖDERMANLANDS LÄN</t>
        </is>
      </c>
      <c r="E278" t="inlineStr">
        <is>
          <t>GNESTA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17304-2022</t>
        </is>
      </c>
      <c r="B279" s="1" t="n">
        <v>44678</v>
      </c>
      <c r="C279" s="1" t="n">
        <v>45783</v>
      </c>
      <c r="D279" t="inlineStr">
        <is>
          <t>SÖDERMANLANDS LÄN</t>
        </is>
      </c>
      <c r="E279" t="inlineStr">
        <is>
          <t>GNESTA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19139-2022</t>
        </is>
      </c>
      <c r="B280" s="1" t="n">
        <v>44691</v>
      </c>
      <c r="C280" s="1" t="n">
        <v>45783</v>
      </c>
      <c r="D280" t="inlineStr">
        <is>
          <t>SÖDERMANLANDS LÄN</t>
        </is>
      </c>
      <c r="E280" t="inlineStr">
        <is>
          <t>GNESTA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20033-2022</t>
        </is>
      </c>
      <c r="B281" s="1" t="n">
        <v>44697</v>
      </c>
      <c r="C281" s="1" t="n">
        <v>45783</v>
      </c>
      <c r="D281" t="inlineStr">
        <is>
          <t>SÖDERMANLANDS LÄN</t>
        </is>
      </c>
      <c r="E281" t="inlineStr">
        <is>
          <t>GNESTA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20112-2022</t>
        </is>
      </c>
      <c r="B282" s="1" t="n">
        <v>44698</v>
      </c>
      <c r="C282" s="1" t="n">
        <v>45783</v>
      </c>
      <c r="D282" t="inlineStr">
        <is>
          <t>SÖDERMANLANDS LÄN</t>
        </is>
      </c>
      <c r="E282" t="inlineStr">
        <is>
          <t>GNESTA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20792-2022</t>
        </is>
      </c>
      <c r="B283" s="1" t="n">
        <v>44701</v>
      </c>
      <c r="C283" s="1" t="n">
        <v>45783</v>
      </c>
      <c r="D283" t="inlineStr">
        <is>
          <t>SÖDERMANLANDS LÄN</t>
        </is>
      </c>
      <c r="E283" t="inlineStr">
        <is>
          <t>GNESTA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24354-2022</t>
        </is>
      </c>
      <c r="B284" s="1" t="n">
        <v>44726</v>
      </c>
      <c r="C284" s="1" t="n">
        <v>45783</v>
      </c>
      <c r="D284" t="inlineStr">
        <is>
          <t>SÖDERMANLANDS LÄN</t>
        </is>
      </c>
      <c r="E284" t="inlineStr">
        <is>
          <t>GNESTA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27428-2022</t>
        </is>
      </c>
      <c r="B285" s="1" t="n">
        <v>44742</v>
      </c>
      <c r="C285" s="1" t="n">
        <v>45783</v>
      </c>
      <c r="D285" t="inlineStr">
        <is>
          <t>SÖDERMANLANDS LÄN</t>
        </is>
      </c>
      <c r="E285" t="inlineStr">
        <is>
          <t>GNESTA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29527-2022</t>
        </is>
      </c>
      <c r="B286" s="1" t="n">
        <v>44742</v>
      </c>
      <c r="C286" s="1" t="n">
        <v>45783</v>
      </c>
      <c r="D286" t="inlineStr">
        <is>
          <t>SÖDERMANLANDS LÄN</t>
        </is>
      </c>
      <c r="E286" t="inlineStr">
        <is>
          <t>GNESTA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29758-2022</t>
        </is>
      </c>
      <c r="B287" s="1" t="n">
        <v>44755</v>
      </c>
      <c r="C287" s="1" t="n">
        <v>45783</v>
      </c>
      <c r="D287" t="inlineStr">
        <is>
          <t>SÖDERMANLANDS LÄN</t>
        </is>
      </c>
      <c r="E287" t="inlineStr">
        <is>
          <t>GNESTA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30706-2022</t>
        </is>
      </c>
      <c r="B288" s="1" t="n">
        <v>44763</v>
      </c>
      <c r="C288" s="1" t="n">
        <v>45783</v>
      </c>
      <c r="D288" t="inlineStr">
        <is>
          <t>SÖDERMANLANDS LÄN</t>
        </is>
      </c>
      <c r="E288" t="inlineStr">
        <is>
          <t>GNESTA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30911-2022</t>
        </is>
      </c>
      <c r="B289" s="1" t="n">
        <v>44767</v>
      </c>
      <c r="C289" s="1" t="n">
        <v>45783</v>
      </c>
      <c r="D289" t="inlineStr">
        <is>
          <t>SÖDERMANLANDS LÄN</t>
        </is>
      </c>
      <c r="E289" t="inlineStr">
        <is>
          <t>GNESTA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31307-2022</t>
        </is>
      </c>
      <c r="B290" s="1" t="n">
        <v>44774</v>
      </c>
      <c r="C290" s="1" t="n">
        <v>45783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31306-2022</t>
        </is>
      </c>
      <c r="B291" s="1" t="n">
        <v>44773</v>
      </c>
      <c r="C291" s="1" t="n">
        <v>45783</v>
      </c>
      <c r="D291" t="inlineStr">
        <is>
          <t>SÖDERMANLANDS LÄN</t>
        </is>
      </c>
      <c r="E291" t="inlineStr">
        <is>
          <t>GNESTA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31305-2022</t>
        </is>
      </c>
      <c r="B292" s="1" t="n">
        <v>44774</v>
      </c>
      <c r="C292" s="1" t="n">
        <v>45783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31832-2022</t>
        </is>
      </c>
      <c r="B293" s="1" t="n">
        <v>44776</v>
      </c>
      <c r="C293" s="1" t="n">
        <v>45783</v>
      </c>
      <c r="D293" t="inlineStr">
        <is>
          <t>SÖDERMANLANDS LÄN</t>
        </is>
      </c>
      <c r="E293" t="inlineStr">
        <is>
          <t>GNESTA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31830-2022</t>
        </is>
      </c>
      <c r="B294" s="1" t="n">
        <v>44776</v>
      </c>
      <c r="C294" s="1" t="n">
        <v>45783</v>
      </c>
      <c r="D294" t="inlineStr">
        <is>
          <t>SÖDERMANLANDS LÄN</t>
        </is>
      </c>
      <c r="E294" t="inlineStr">
        <is>
          <t>GNESTA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32273-2022</t>
        </is>
      </c>
      <c r="B295" s="1" t="n">
        <v>44781</v>
      </c>
      <c r="C295" s="1" t="n">
        <v>45783</v>
      </c>
      <c r="D295" t="inlineStr">
        <is>
          <t>SÖDERMANLANDS LÄN</t>
        </is>
      </c>
      <c r="E295" t="inlineStr">
        <is>
          <t>GNESTA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32215-2022</t>
        </is>
      </c>
      <c r="B296" s="1" t="n">
        <v>44781</v>
      </c>
      <c r="C296" s="1" t="n">
        <v>45783</v>
      </c>
      <c r="D296" t="inlineStr">
        <is>
          <t>SÖDERMANLANDS LÄN</t>
        </is>
      </c>
      <c r="E296" t="inlineStr">
        <is>
          <t>GNESTA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32320-2022</t>
        </is>
      </c>
      <c r="B297" s="1" t="n">
        <v>44781</v>
      </c>
      <c r="C297" s="1" t="n">
        <v>45783</v>
      </c>
      <c r="D297" t="inlineStr">
        <is>
          <t>SÖDERMANLANDS LÄN</t>
        </is>
      </c>
      <c r="E297" t="inlineStr">
        <is>
          <t>GNESTA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32858-2022</t>
        </is>
      </c>
      <c r="B298" s="1" t="n">
        <v>44784</v>
      </c>
      <c r="C298" s="1" t="n">
        <v>45783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32854-2022</t>
        </is>
      </c>
      <c r="B299" s="1" t="n">
        <v>44784</v>
      </c>
      <c r="C299" s="1" t="n">
        <v>45783</v>
      </c>
      <c r="D299" t="inlineStr">
        <is>
          <t>SÖDERMANLANDS LÄN</t>
        </is>
      </c>
      <c r="E299" t="inlineStr">
        <is>
          <t>GNESTA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32923-2022</t>
        </is>
      </c>
      <c r="B300" s="1" t="n">
        <v>44784</v>
      </c>
      <c r="C300" s="1" t="n">
        <v>45783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33758-2022</t>
        </is>
      </c>
      <c r="B301" s="1" t="n">
        <v>44790</v>
      </c>
      <c r="C301" s="1" t="n">
        <v>45783</v>
      </c>
      <c r="D301" t="inlineStr">
        <is>
          <t>SÖDERMANLANDS LÄN</t>
        </is>
      </c>
      <c r="E301" t="inlineStr">
        <is>
          <t>GNESTA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45783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45783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45783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45783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45783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45783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45783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45783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45783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45783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45783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45783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45783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45783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45783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45783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45783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45783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45783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45783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45783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45783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45783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45783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45783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45783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45783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45783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45783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45783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45783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45783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45783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45783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45783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45783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45783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45783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45783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45783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45783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45783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45783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45783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45783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45783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45783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45783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45783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45783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45783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45783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45783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45783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45783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45783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45783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45783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45783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45783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45783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45783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45783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45783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45783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45783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45783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45783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45783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45783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45783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45783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45783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45783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45783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45783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45783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45783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45783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45783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45783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45783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45783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45783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45783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45783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45783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45783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45783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45783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45783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18406-2023</t>
        </is>
      </c>
      <c r="B393" s="1" t="n">
        <v>45042</v>
      </c>
      <c r="C393" s="1" t="n">
        <v>45783</v>
      </c>
      <c r="D393" t="inlineStr">
        <is>
          <t>SÖDERMANLANDS LÄN</t>
        </is>
      </c>
      <c r="E393" t="inlineStr">
        <is>
          <t>GNESTA</t>
        </is>
      </c>
      <c r="F393" t="inlineStr">
        <is>
          <t>Holmen skog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18902-2023</t>
        </is>
      </c>
      <c r="B394" s="1" t="n">
        <v>45044</v>
      </c>
      <c r="C394" s="1" t="n">
        <v>45783</v>
      </c>
      <c r="D394" t="inlineStr">
        <is>
          <t>SÖDERMANLANDS LÄN</t>
        </is>
      </c>
      <c r="E394" t="inlineStr">
        <is>
          <t>GNESTA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19054-2023</t>
        </is>
      </c>
      <c r="B395" s="1" t="n">
        <v>45048</v>
      </c>
      <c r="C395" s="1" t="n">
        <v>45783</v>
      </c>
      <c r="D395" t="inlineStr">
        <is>
          <t>SÖDERMANLANDS LÄN</t>
        </is>
      </c>
      <c r="E395" t="inlineStr">
        <is>
          <t>GNESTA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19126-2023</t>
        </is>
      </c>
      <c r="B396" s="1" t="n">
        <v>45048</v>
      </c>
      <c r="C396" s="1" t="n">
        <v>45783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19149-2023</t>
        </is>
      </c>
      <c r="B397" s="1" t="n">
        <v>45048</v>
      </c>
      <c r="C397" s="1" t="n">
        <v>45783</v>
      </c>
      <c r="D397" t="inlineStr">
        <is>
          <t>SÖDERMANLANDS LÄN</t>
        </is>
      </c>
      <c r="E397" t="inlineStr">
        <is>
          <t>GNESTA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20986-2023</t>
        </is>
      </c>
      <c r="B398" s="1" t="n">
        <v>45061</v>
      </c>
      <c r="C398" s="1" t="n">
        <v>45783</v>
      </c>
      <c r="D398" t="inlineStr">
        <is>
          <t>SÖDERMANLANDS LÄN</t>
        </is>
      </c>
      <c r="E398" t="inlineStr">
        <is>
          <t>GNESTA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21174-2023</t>
        </is>
      </c>
      <c r="B399" s="1" t="n">
        <v>45062</v>
      </c>
      <c r="C399" s="1" t="n">
        <v>45783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21172-2023</t>
        </is>
      </c>
      <c r="B400" s="1" t="n">
        <v>45062</v>
      </c>
      <c r="C400" s="1" t="n">
        <v>45783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21860-2023</t>
        </is>
      </c>
      <c r="B401" s="1" t="n">
        <v>45068</v>
      </c>
      <c r="C401" s="1" t="n">
        <v>45783</v>
      </c>
      <c r="D401" t="inlineStr">
        <is>
          <t>SÖDERMANLANDS LÄN</t>
        </is>
      </c>
      <c r="E401" t="inlineStr">
        <is>
          <t>GNESTA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21854-2023</t>
        </is>
      </c>
      <c r="B402" s="1" t="n">
        <v>45068</v>
      </c>
      <c r="C402" s="1" t="n">
        <v>45783</v>
      </c>
      <c r="D402" t="inlineStr">
        <is>
          <t>SÖDERMANLANDS LÄN</t>
        </is>
      </c>
      <c r="E402" t="inlineStr">
        <is>
          <t>GNESTA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21858-2023</t>
        </is>
      </c>
      <c r="B403" s="1" t="n">
        <v>45068</v>
      </c>
      <c r="C403" s="1" t="n">
        <v>45783</v>
      </c>
      <c r="D403" t="inlineStr">
        <is>
          <t>SÖDERMANLANDS LÄN</t>
        </is>
      </c>
      <c r="E403" t="inlineStr">
        <is>
          <t>GNESTA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22667-2023</t>
        </is>
      </c>
      <c r="B404" s="1" t="n">
        <v>45071</v>
      </c>
      <c r="C404" s="1" t="n">
        <v>45783</v>
      </c>
      <c r="D404" t="inlineStr">
        <is>
          <t>SÖDERMANLANDS LÄN</t>
        </is>
      </c>
      <c r="E404" t="inlineStr">
        <is>
          <t>GNESTA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23436-2023</t>
        </is>
      </c>
      <c r="B405" s="1" t="n">
        <v>45076</v>
      </c>
      <c r="C405" s="1" t="n">
        <v>45783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23726-2023</t>
        </is>
      </c>
      <c r="B406" s="1" t="n">
        <v>45077</v>
      </c>
      <c r="C406" s="1" t="n">
        <v>45783</v>
      </c>
      <c r="D406" t="inlineStr">
        <is>
          <t>SÖDERMANLANDS LÄN</t>
        </is>
      </c>
      <c r="E406" t="inlineStr">
        <is>
          <t>GNESTA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23962-2023</t>
        </is>
      </c>
      <c r="B407" s="1" t="n">
        <v>45078</v>
      </c>
      <c r="C407" s="1" t="n">
        <v>45783</v>
      </c>
      <c r="D407" t="inlineStr">
        <is>
          <t>SÖDERMANLANDS LÄN</t>
        </is>
      </c>
      <c r="E407" t="inlineStr">
        <is>
          <t>GNESTA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25615-2023</t>
        </is>
      </c>
      <c r="B408" s="1" t="n">
        <v>45089</v>
      </c>
      <c r="C408" s="1" t="n">
        <v>45783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25510-2023</t>
        </is>
      </c>
      <c r="B409" s="1" t="n">
        <v>45089</v>
      </c>
      <c r="C409" s="1" t="n">
        <v>45783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25633-2023</t>
        </is>
      </c>
      <c r="B410" s="1" t="n">
        <v>45089</v>
      </c>
      <c r="C410" s="1" t="n">
        <v>45783</v>
      </c>
      <c r="D410" t="inlineStr">
        <is>
          <t>SÖDERMANLANDS LÄN</t>
        </is>
      </c>
      <c r="E410" t="inlineStr">
        <is>
          <t>GNESTA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25635-2023</t>
        </is>
      </c>
      <c r="B411" s="1" t="n">
        <v>45089</v>
      </c>
      <c r="C411" s="1" t="n">
        <v>45783</v>
      </c>
      <c r="D411" t="inlineStr">
        <is>
          <t>SÖDERMANLANDS LÄN</t>
        </is>
      </c>
      <c r="E411" t="inlineStr">
        <is>
          <t>GNESTA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28183-2023</t>
        </is>
      </c>
      <c r="B412" s="1" t="n">
        <v>45099</v>
      </c>
      <c r="C412" s="1" t="n">
        <v>45783</v>
      </c>
      <c r="D412" t="inlineStr">
        <is>
          <t>SÖDERMANLANDS LÄN</t>
        </is>
      </c>
      <c r="E412" t="inlineStr">
        <is>
          <t>GNESTA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28458-2023</t>
        </is>
      </c>
      <c r="B413" s="1" t="n">
        <v>45103</v>
      </c>
      <c r="C413" s="1" t="n">
        <v>45783</v>
      </c>
      <c r="D413" t="inlineStr">
        <is>
          <t>SÖDERMANLANDS LÄN</t>
        </is>
      </c>
      <c r="E413" t="inlineStr">
        <is>
          <t>GNESTA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31499-2023</t>
        </is>
      </c>
      <c r="B414" s="1" t="n">
        <v>45104</v>
      </c>
      <c r="C414" s="1" t="n">
        <v>45783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31500-2023</t>
        </is>
      </c>
      <c r="B415" s="1" t="n">
        <v>45104</v>
      </c>
      <c r="C415" s="1" t="n">
        <v>45783</v>
      </c>
      <c r="D415" t="inlineStr">
        <is>
          <t>SÖDERMANLANDS LÄN</t>
        </is>
      </c>
      <c r="E415" t="inlineStr">
        <is>
          <t>GNESTA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31498-2023</t>
        </is>
      </c>
      <c r="B416" s="1" t="n">
        <v>45104</v>
      </c>
      <c r="C416" s="1" t="n">
        <v>45783</v>
      </c>
      <c r="D416" t="inlineStr">
        <is>
          <t>SÖDERMANLANDS LÄN</t>
        </is>
      </c>
      <c r="E416" t="inlineStr">
        <is>
          <t>GNESTA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33197-2023</t>
        </is>
      </c>
      <c r="B417" s="1" t="n">
        <v>45127</v>
      </c>
      <c r="C417" s="1" t="n">
        <v>45783</v>
      </c>
      <c r="D417" t="inlineStr">
        <is>
          <t>SÖDERMANLANDS LÄN</t>
        </is>
      </c>
      <c r="E417" t="inlineStr">
        <is>
          <t>GNESTA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34429-2023</t>
        </is>
      </c>
      <c r="B418" s="1" t="n">
        <v>45133</v>
      </c>
      <c r="C418" s="1" t="n">
        <v>45783</v>
      </c>
      <c r="D418" t="inlineStr">
        <is>
          <t>SÖDERMANLANDS LÄN</t>
        </is>
      </c>
      <c r="E418" t="inlineStr">
        <is>
          <t>GNESTA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34426-2023</t>
        </is>
      </c>
      <c r="B419" s="1" t="n">
        <v>45133</v>
      </c>
      <c r="C419" s="1" t="n">
        <v>45783</v>
      </c>
      <c r="D419" t="inlineStr">
        <is>
          <t>SÖDERMANLANDS LÄN</t>
        </is>
      </c>
      <c r="E419" t="inlineStr">
        <is>
          <t>GNESTA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34425-2023</t>
        </is>
      </c>
      <c r="B420" s="1" t="n">
        <v>45133</v>
      </c>
      <c r="C420" s="1" t="n">
        <v>45783</v>
      </c>
      <c r="D420" t="inlineStr">
        <is>
          <t>SÖDERMANLANDS LÄN</t>
        </is>
      </c>
      <c r="E420" t="inlineStr">
        <is>
          <t>GNESTA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34437-2023</t>
        </is>
      </c>
      <c r="B421" s="1" t="n">
        <v>45133</v>
      </c>
      <c r="C421" s="1" t="n">
        <v>45783</v>
      </c>
      <c r="D421" t="inlineStr">
        <is>
          <t>SÖDERMANLANDS LÄN</t>
        </is>
      </c>
      <c r="E421" t="inlineStr">
        <is>
          <t>GNESTA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34435-2023</t>
        </is>
      </c>
      <c r="B422" s="1" t="n">
        <v>45139</v>
      </c>
      <c r="C422" s="1" t="n">
        <v>45783</v>
      </c>
      <c r="D422" t="inlineStr">
        <is>
          <t>SÖDERMANLANDS LÄN</t>
        </is>
      </c>
      <c r="E422" t="inlineStr">
        <is>
          <t>GNESTA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34392-2023</t>
        </is>
      </c>
      <c r="B423" s="1" t="n">
        <v>45139</v>
      </c>
      <c r="C423" s="1" t="n">
        <v>45783</v>
      </c>
      <c r="D423" t="inlineStr">
        <is>
          <t>SÖDERMANLANDS LÄN</t>
        </is>
      </c>
      <c r="E423" t="inlineStr">
        <is>
          <t>GNESTA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34384-2023</t>
        </is>
      </c>
      <c r="B424" s="1" t="n">
        <v>45139</v>
      </c>
      <c r="C424" s="1" t="n">
        <v>45783</v>
      </c>
      <c r="D424" t="inlineStr">
        <is>
          <t>SÖDERMANLANDS LÄN</t>
        </is>
      </c>
      <c r="E424" t="inlineStr">
        <is>
          <t>GNESTA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34500-2023</t>
        </is>
      </c>
      <c r="B425" s="1" t="n">
        <v>45140</v>
      </c>
      <c r="C425" s="1" t="n">
        <v>45783</v>
      </c>
      <c r="D425" t="inlineStr">
        <is>
          <t>SÖDERMANLANDS LÄN</t>
        </is>
      </c>
      <c r="E425" t="inlineStr">
        <is>
          <t>GNESTA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34596-2023</t>
        </is>
      </c>
      <c r="B426" s="1" t="n">
        <v>45140</v>
      </c>
      <c r="C426" s="1" t="n">
        <v>45783</v>
      </c>
      <c r="D426" t="inlineStr">
        <is>
          <t>SÖDERMANLANDS LÄN</t>
        </is>
      </c>
      <c r="E426" t="inlineStr">
        <is>
          <t>GNESTA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34615-2023</t>
        </is>
      </c>
      <c r="B427" s="1" t="n">
        <v>45140</v>
      </c>
      <c r="C427" s="1" t="n">
        <v>45783</v>
      </c>
      <c r="D427" t="inlineStr">
        <is>
          <t>SÖDERMANLANDS LÄN</t>
        </is>
      </c>
      <c r="E427" t="inlineStr">
        <is>
          <t>GNESTA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36308-2023</t>
        </is>
      </c>
      <c r="B428" s="1" t="n">
        <v>45152</v>
      </c>
      <c r="C428" s="1" t="n">
        <v>45783</v>
      </c>
      <c r="D428" t="inlineStr">
        <is>
          <t>SÖDERMANLANDS LÄN</t>
        </is>
      </c>
      <c r="E428" t="inlineStr">
        <is>
          <t>GNESTA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36333-2023</t>
        </is>
      </c>
      <c r="B429" s="1" t="n">
        <v>45152</v>
      </c>
      <c r="C429" s="1" t="n">
        <v>45783</v>
      </c>
      <c r="D429" t="inlineStr">
        <is>
          <t>SÖDERMANLANDS LÄN</t>
        </is>
      </c>
      <c r="E429" t="inlineStr">
        <is>
          <t>GNESTA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38961-2023</t>
        </is>
      </c>
      <c r="B430" s="1" t="n">
        <v>45163</v>
      </c>
      <c r="C430" s="1" t="n">
        <v>45783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38931-2023</t>
        </is>
      </c>
      <c r="B431" s="1" t="n">
        <v>45163</v>
      </c>
      <c r="C431" s="1" t="n">
        <v>45783</v>
      </c>
      <c r="D431" t="inlineStr">
        <is>
          <t>SÖDERMANLANDS LÄN</t>
        </is>
      </c>
      <c r="E431" t="inlineStr">
        <is>
          <t>GNESTA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38950-2023</t>
        </is>
      </c>
      <c r="B432" s="1" t="n">
        <v>45163</v>
      </c>
      <c r="C432" s="1" t="n">
        <v>45783</v>
      </c>
      <c r="D432" t="inlineStr">
        <is>
          <t>SÖDERMANLANDS LÄN</t>
        </is>
      </c>
      <c r="E432" t="inlineStr">
        <is>
          <t>GNESTA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38894-2023</t>
        </is>
      </c>
      <c r="B433" s="1" t="n">
        <v>45163</v>
      </c>
      <c r="C433" s="1" t="n">
        <v>45783</v>
      </c>
      <c r="D433" t="inlineStr">
        <is>
          <t>SÖDERMANLANDS LÄN</t>
        </is>
      </c>
      <c r="E433" t="inlineStr">
        <is>
          <t>GNESTA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40133-2023</t>
        </is>
      </c>
      <c r="B434" s="1" t="n">
        <v>45169</v>
      </c>
      <c r="C434" s="1" t="n">
        <v>45783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41260-2023</t>
        </is>
      </c>
      <c r="B435" s="1" t="n">
        <v>45174</v>
      </c>
      <c r="C435" s="1" t="n">
        <v>45783</v>
      </c>
      <c r="D435" t="inlineStr">
        <is>
          <t>SÖDERMANLANDS LÄN</t>
        </is>
      </c>
      <c r="E435" t="inlineStr">
        <is>
          <t>GNESTA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43079-2023</t>
        </is>
      </c>
      <c r="B436" s="1" t="n">
        <v>45182</v>
      </c>
      <c r="C436" s="1" t="n">
        <v>45783</v>
      </c>
      <c r="D436" t="inlineStr">
        <is>
          <t>SÖDERMANLANDS LÄN</t>
        </is>
      </c>
      <c r="E436" t="inlineStr">
        <is>
          <t>GNESTA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43076-2023</t>
        </is>
      </c>
      <c r="B437" s="1" t="n">
        <v>45182</v>
      </c>
      <c r="C437" s="1" t="n">
        <v>45783</v>
      </c>
      <c r="D437" t="inlineStr">
        <is>
          <t>SÖDERMANLANDS LÄN</t>
        </is>
      </c>
      <c r="E437" t="inlineStr">
        <is>
          <t>GNESTA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43069-2023</t>
        </is>
      </c>
      <c r="B438" s="1" t="n">
        <v>45182</v>
      </c>
      <c r="C438" s="1" t="n">
        <v>45783</v>
      </c>
      <c r="D438" t="inlineStr">
        <is>
          <t>SÖDERMANLANDS LÄN</t>
        </is>
      </c>
      <c r="E438" t="inlineStr">
        <is>
          <t>GNESTA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43081-2023</t>
        </is>
      </c>
      <c r="B439" s="1" t="n">
        <v>45182</v>
      </c>
      <c r="C439" s="1" t="n">
        <v>45783</v>
      </c>
      <c r="D439" t="inlineStr">
        <is>
          <t>SÖDERMANLANDS LÄN</t>
        </is>
      </c>
      <c r="E439" t="inlineStr">
        <is>
          <t>GNESTA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43155-2023</t>
        </is>
      </c>
      <c r="B440" s="1" t="n">
        <v>45183</v>
      </c>
      <c r="C440" s="1" t="n">
        <v>45783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43326-2023</t>
        </is>
      </c>
      <c r="B441" s="1" t="n">
        <v>45183</v>
      </c>
      <c r="C441" s="1" t="n">
        <v>45783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43606-2023</t>
        </is>
      </c>
      <c r="B442" s="1" t="n">
        <v>45184</v>
      </c>
      <c r="C442" s="1" t="n">
        <v>45783</v>
      </c>
      <c r="D442" t="inlineStr">
        <is>
          <t>SÖDERMANLANDS LÄN</t>
        </is>
      </c>
      <c r="E442" t="inlineStr">
        <is>
          <t>GNESTA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44050-2023</t>
        </is>
      </c>
      <c r="B443" s="1" t="n">
        <v>45188</v>
      </c>
      <c r="C443" s="1" t="n">
        <v>45783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44208-2023</t>
        </is>
      </c>
      <c r="B444" s="1" t="n">
        <v>45188</v>
      </c>
      <c r="C444" s="1" t="n">
        <v>45783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44420-2023</t>
        </is>
      </c>
      <c r="B445" s="1" t="n">
        <v>45189</v>
      </c>
      <c r="C445" s="1" t="n">
        <v>45783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44627-2023</t>
        </is>
      </c>
      <c r="B446" s="1" t="n">
        <v>45189</v>
      </c>
      <c r="C446" s="1" t="n">
        <v>45783</v>
      </c>
      <c r="D446" t="inlineStr">
        <is>
          <t>SÖDERMANLANDS LÄN</t>
        </is>
      </c>
      <c r="E446" t="inlineStr">
        <is>
          <t>GNESTA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46724-2023</t>
        </is>
      </c>
      <c r="B447" s="1" t="n">
        <v>45194</v>
      </c>
      <c r="C447" s="1" t="n">
        <v>45783</v>
      </c>
      <c r="D447" t="inlineStr">
        <is>
          <t>SÖDERMANLANDS LÄN</t>
        </is>
      </c>
      <c r="E447" t="inlineStr">
        <is>
          <t>GNESTA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46682-2023</t>
        </is>
      </c>
      <c r="B448" s="1" t="n">
        <v>45194</v>
      </c>
      <c r="C448" s="1" t="n">
        <v>45783</v>
      </c>
      <c r="D448" t="inlineStr">
        <is>
          <t>SÖDERMANLANDS LÄN</t>
        </is>
      </c>
      <c r="E448" t="inlineStr">
        <is>
          <t>GNESTA</t>
        </is>
      </c>
      <c r="F448" t="inlineStr">
        <is>
          <t>Kyrkan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46719-2023</t>
        </is>
      </c>
      <c r="B449" s="1" t="n">
        <v>45194</v>
      </c>
      <c r="C449" s="1" t="n">
        <v>45783</v>
      </c>
      <c r="D449" t="inlineStr">
        <is>
          <t>SÖDERMANLANDS LÄN</t>
        </is>
      </c>
      <c r="E449" t="inlineStr">
        <is>
          <t>GNESTA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45766-2023</t>
        </is>
      </c>
      <c r="B450" s="1" t="n">
        <v>45195</v>
      </c>
      <c r="C450" s="1" t="n">
        <v>45783</v>
      </c>
      <c r="D450" t="inlineStr">
        <is>
          <t>SÖDERMANLANDS LÄN</t>
        </is>
      </c>
      <c r="E450" t="inlineStr">
        <is>
          <t>GNESTA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48304-2023</t>
        </is>
      </c>
      <c r="B451" s="1" t="n">
        <v>45205</v>
      </c>
      <c r="C451" s="1" t="n">
        <v>45783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49394-2023</t>
        </is>
      </c>
      <c r="B452" s="1" t="n">
        <v>45211</v>
      </c>
      <c r="C452" s="1" t="n">
        <v>45783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49535-2023</t>
        </is>
      </c>
      <c r="B453" s="1" t="n">
        <v>45211</v>
      </c>
      <c r="C453" s="1" t="n">
        <v>45783</v>
      </c>
      <c r="D453" t="inlineStr">
        <is>
          <t>SÖDERMANLANDS LÄN</t>
        </is>
      </c>
      <c r="E453" t="inlineStr">
        <is>
          <t>GNESTA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49614-2023</t>
        </is>
      </c>
      <c r="B454" s="1" t="n">
        <v>45211</v>
      </c>
      <c r="C454" s="1" t="n">
        <v>45783</v>
      </c>
      <c r="D454" t="inlineStr">
        <is>
          <t>SÖDERMANLANDS LÄN</t>
        </is>
      </c>
      <c r="E454" t="inlineStr">
        <is>
          <t>GNESTA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49611-2023</t>
        </is>
      </c>
      <c r="B455" s="1" t="n">
        <v>45211</v>
      </c>
      <c r="C455" s="1" t="n">
        <v>45783</v>
      </c>
      <c r="D455" t="inlineStr">
        <is>
          <t>SÖDERMANLANDS LÄN</t>
        </is>
      </c>
      <c r="E455" t="inlineStr">
        <is>
          <t>GNESTA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49909-2023</t>
        </is>
      </c>
      <c r="B456" s="1" t="n">
        <v>45214</v>
      </c>
      <c r="C456" s="1" t="n">
        <v>45783</v>
      </c>
      <c r="D456" t="inlineStr">
        <is>
          <t>SÖDERMANLANDS LÄN</t>
        </is>
      </c>
      <c r="E456" t="inlineStr">
        <is>
          <t>GNESTA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50789-2023</t>
        </is>
      </c>
      <c r="B457" s="1" t="n">
        <v>45217</v>
      </c>
      <c r="C457" s="1" t="n">
        <v>45783</v>
      </c>
      <c r="D457" t="inlineStr">
        <is>
          <t>SÖDERMANLANDS LÄN</t>
        </is>
      </c>
      <c r="E457" t="inlineStr">
        <is>
          <t>GNESTA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51747-2023</t>
        </is>
      </c>
      <c r="B458" s="1" t="n">
        <v>45222</v>
      </c>
      <c r="C458" s="1" t="n">
        <v>45783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53021-2023</t>
        </is>
      </c>
      <c r="B459" s="1" t="n">
        <v>45226</v>
      </c>
      <c r="C459" s="1" t="n">
        <v>45783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53063-2023</t>
        </is>
      </c>
      <c r="B460" s="1" t="n">
        <v>45227</v>
      </c>
      <c r="C460" s="1" t="n">
        <v>45783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53064-2023</t>
        </is>
      </c>
      <c r="B461" s="1" t="n">
        <v>45227</v>
      </c>
      <c r="C461" s="1" t="n">
        <v>45783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53065-2023</t>
        </is>
      </c>
      <c r="B462" s="1" t="n">
        <v>45227</v>
      </c>
      <c r="C462" s="1" t="n">
        <v>45783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55536-2023</t>
        </is>
      </c>
      <c r="B463" s="1" t="n">
        <v>45232</v>
      </c>
      <c r="C463" s="1" t="n">
        <v>45783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56732-2023</t>
        </is>
      </c>
      <c r="B464" s="1" t="n">
        <v>45238</v>
      </c>
      <c r="C464" s="1" t="n">
        <v>45783</v>
      </c>
      <c r="D464" t="inlineStr">
        <is>
          <t>SÖDERMANLANDS LÄN</t>
        </is>
      </c>
      <c r="E464" t="inlineStr">
        <is>
          <t>GNESTA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56728-2023</t>
        </is>
      </c>
      <c r="B465" s="1" t="n">
        <v>45238</v>
      </c>
      <c r="C465" s="1" t="n">
        <v>45783</v>
      </c>
      <c r="D465" t="inlineStr">
        <is>
          <t>SÖDERMANLANDS LÄN</t>
        </is>
      </c>
      <c r="E465" t="inlineStr">
        <is>
          <t>GNESTA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56720-2023</t>
        </is>
      </c>
      <c r="B466" s="1" t="n">
        <v>45238</v>
      </c>
      <c r="C466" s="1" t="n">
        <v>45783</v>
      </c>
      <c r="D466" t="inlineStr">
        <is>
          <t>SÖDERMANLANDS LÄN</t>
        </is>
      </c>
      <c r="E466" t="inlineStr">
        <is>
          <t>GNESTA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55864-2023</t>
        </is>
      </c>
      <c r="B467" s="1" t="n">
        <v>45239</v>
      </c>
      <c r="C467" s="1" t="n">
        <v>45783</v>
      </c>
      <c r="D467" t="inlineStr">
        <is>
          <t>SÖDERMANLANDS LÄN</t>
        </is>
      </c>
      <c r="E467" t="inlineStr">
        <is>
          <t>GNESTA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57930-2023</t>
        </is>
      </c>
      <c r="B468" s="1" t="n">
        <v>45247</v>
      </c>
      <c r="C468" s="1" t="n">
        <v>45783</v>
      </c>
      <c r="D468" t="inlineStr">
        <is>
          <t>SÖDERMANLANDS LÄN</t>
        </is>
      </c>
      <c r="E468" t="inlineStr">
        <is>
          <t>GNESTA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58031-2023</t>
        </is>
      </c>
      <c r="B469" s="1" t="n">
        <v>45247</v>
      </c>
      <c r="C469" s="1" t="n">
        <v>45783</v>
      </c>
      <c r="D469" t="inlineStr">
        <is>
          <t>SÖDERMANLANDS LÄN</t>
        </is>
      </c>
      <c r="E469" t="inlineStr">
        <is>
          <t>GNESTA</t>
        </is>
      </c>
      <c r="G469" t="n">
        <v>17.6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59008-2023</t>
        </is>
      </c>
      <c r="B470" s="1" t="n">
        <v>45252</v>
      </c>
      <c r="C470" s="1" t="n">
        <v>45783</v>
      </c>
      <c r="D470" t="inlineStr">
        <is>
          <t>SÖDERMANLANDS LÄN</t>
        </is>
      </c>
      <c r="E470" t="inlineStr">
        <is>
          <t>GNESTA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59380-2023</t>
        </is>
      </c>
      <c r="B471" s="1" t="n">
        <v>45253</v>
      </c>
      <c r="C471" s="1" t="n">
        <v>45783</v>
      </c>
      <c r="D471" t="inlineStr">
        <is>
          <t>SÖDERMANLANDS LÄN</t>
        </is>
      </c>
      <c r="E471" t="inlineStr">
        <is>
          <t>GNESTA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59512-2023</t>
        </is>
      </c>
      <c r="B472" s="1" t="n">
        <v>45254</v>
      </c>
      <c r="C472" s="1" t="n">
        <v>45783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59767-2023</t>
        </is>
      </c>
      <c r="B473" s="1" t="n">
        <v>45257</v>
      </c>
      <c r="C473" s="1" t="n">
        <v>45783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60295-2023</t>
        </is>
      </c>
      <c r="B474" s="1" t="n">
        <v>45257</v>
      </c>
      <c r="C474" s="1" t="n">
        <v>45783</v>
      </c>
      <c r="D474" t="inlineStr">
        <is>
          <t>SÖDERMANLANDS LÄN</t>
        </is>
      </c>
      <c r="E474" t="inlineStr">
        <is>
          <t>GNESTA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61459-2023</t>
        </is>
      </c>
      <c r="B475" s="1" t="n">
        <v>45264</v>
      </c>
      <c r="C475" s="1" t="n">
        <v>45783</v>
      </c>
      <c r="D475" t="inlineStr">
        <is>
          <t>SÖDERMANLANDS LÄN</t>
        </is>
      </c>
      <c r="E475" t="inlineStr">
        <is>
          <t>GNESTA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45783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61648-2023</t>
        </is>
      </c>
      <c r="B477" s="1" t="n">
        <v>45265</v>
      </c>
      <c r="C477" s="1" t="n">
        <v>45783</v>
      </c>
      <c r="D477" t="inlineStr">
        <is>
          <t>SÖDERMANLANDS LÄN</t>
        </is>
      </c>
      <c r="E477" t="inlineStr">
        <is>
          <t>GNESTA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61629-2023</t>
        </is>
      </c>
      <c r="B478" s="1" t="n">
        <v>45265</v>
      </c>
      <c r="C478" s="1" t="n">
        <v>45783</v>
      </c>
      <c r="D478" t="inlineStr">
        <is>
          <t>SÖDERMANLANDS LÄN</t>
        </is>
      </c>
      <c r="E478" t="inlineStr">
        <is>
          <t>GNESTA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62239-2023</t>
        </is>
      </c>
      <c r="B479" s="1" t="n">
        <v>45267</v>
      </c>
      <c r="C479" s="1" t="n">
        <v>45783</v>
      </c>
      <c r="D479" t="inlineStr">
        <is>
          <t>SÖDERMANLANDS LÄN</t>
        </is>
      </c>
      <c r="E479" t="inlineStr">
        <is>
          <t>GNESTA</t>
        </is>
      </c>
      <c r="F479" t="inlineStr">
        <is>
          <t>Holmen skog AB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62428-2023</t>
        </is>
      </c>
      <c r="B480" s="1" t="n">
        <v>45268</v>
      </c>
      <c r="C480" s="1" t="n">
        <v>45783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62427-2023</t>
        </is>
      </c>
      <c r="B481" s="1" t="n">
        <v>45268</v>
      </c>
      <c r="C481" s="1" t="n">
        <v>45783</v>
      </c>
      <c r="D481" t="inlineStr">
        <is>
          <t>SÖDERMANLANDS LÄN</t>
        </is>
      </c>
      <c r="E481" t="inlineStr">
        <is>
          <t>GNESTA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62640-2023</t>
        </is>
      </c>
      <c r="B482" s="1" t="n">
        <v>45271</v>
      </c>
      <c r="C482" s="1" t="n">
        <v>45783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62690-2023</t>
        </is>
      </c>
      <c r="B483" s="1" t="n">
        <v>45271</v>
      </c>
      <c r="C483" s="1" t="n">
        <v>45783</v>
      </c>
      <c r="D483" t="inlineStr">
        <is>
          <t>SÖDERMANLANDS LÄN</t>
        </is>
      </c>
      <c r="E483" t="inlineStr">
        <is>
          <t>GNESTA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62707-2023</t>
        </is>
      </c>
      <c r="B484" s="1" t="n">
        <v>45271</v>
      </c>
      <c r="C484" s="1" t="n">
        <v>45783</v>
      </c>
      <c r="D484" t="inlineStr">
        <is>
          <t>SÖDERMANLANDS LÄN</t>
        </is>
      </c>
      <c r="E484" t="inlineStr">
        <is>
          <t>GNESTA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62653-2023</t>
        </is>
      </c>
      <c r="B485" s="1" t="n">
        <v>45271</v>
      </c>
      <c r="C485" s="1" t="n">
        <v>45783</v>
      </c>
      <c r="D485" t="inlineStr">
        <is>
          <t>SÖDERMANLANDS LÄN</t>
        </is>
      </c>
      <c r="E485" t="inlineStr">
        <is>
          <t>GNESTA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62912-2023</t>
        </is>
      </c>
      <c r="B486" s="1" t="n">
        <v>45272</v>
      </c>
      <c r="C486" s="1" t="n">
        <v>45783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45783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45783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45783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62981-2023</t>
        </is>
      </c>
      <c r="B490" s="1" t="n">
        <v>45272</v>
      </c>
      <c r="C490" s="1" t="n">
        <v>45783</v>
      </c>
      <c r="D490" t="inlineStr">
        <is>
          <t>SÖDERMANLANDS LÄN</t>
        </is>
      </c>
      <c r="E490" t="inlineStr">
        <is>
          <t>GNESTA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63427-2023</t>
        </is>
      </c>
      <c r="B491" s="1" t="n">
        <v>45274</v>
      </c>
      <c r="C491" s="1" t="n">
        <v>45783</v>
      </c>
      <c r="D491" t="inlineStr">
        <is>
          <t>SÖDERMANLANDS LÄN</t>
        </is>
      </c>
      <c r="E491" t="inlineStr">
        <is>
          <t>GNESTA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63751-2023</t>
        </is>
      </c>
      <c r="B492" s="1" t="n">
        <v>45277</v>
      </c>
      <c r="C492" s="1" t="n">
        <v>45783</v>
      </c>
      <c r="D492" t="inlineStr">
        <is>
          <t>SÖDERMANLANDS LÄN</t>
        </is>
      </c>
      <c r="E492" t="inlineStr">
        <is>
          <t>GNESTA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63827-2023</t>
        </is>
      </c>
      <c r="B493" s="1" t="n">
        <v>45278</v>
      </c>
      <c r="C493" s="1" t="n">
        <v>45783</v>
      </c>
      <c r="D493" t="inlineStr">
        <is>
          <t>SÖDERMANLANDS LÄN</t>
        </is>
      </c>
      <c r="E493" t="inlineStr">
        <is>
          <t>GNESTA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63836-2023</t>
        </is>
      </c>
      <c r="B494" s="1" t="n">
        <v>45278</v>
      </c>
      <c r="C494" s="1" t="n">
        <v>45783</v>
      </c>
      <c r="D494" t="inlineStr">
        <is>
          <t>SÖDERMANLANDS LÄN</t>
        </is>
      </c>
      <c r="E494" t="inlineStr">
        <is>
          <t>GNESTA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65000-2023</t>
        </is>
      </c>
      <c r="B495" s="1" t="n">
        <v>45286</v>
      </c>
      <c r="C495" s="1" t="n">
        <v>45783</v>
      </c>
      <c r="D495" t="inlineStr">
        <is>
          <t>SÖDERMANLANDS LÄN</t>
        </is>
      </c>
      <c r="E495" t="inlineStr">
        <is>
          <t>GNESTA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65001-2023</t>
        </is>
      </c>
      <c r="B496" s="1" t="n">
        <v>45286</v>
      </c>
      <c r="C496" s="1" t="n">
        <v>45783</v>
      </c>
      <c r="D496" t="inlineStr">
        <is>
          <t>SÖDERMANLANDS LÄN</t>
        </is>
      </c>
      <c r="E496" t="inlineStr">
        <is>
          <t>GNESTA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65082-2023</t>
        </is>
      </c>
      <c r="B497" s="1" t="n">
        <v>45288</v>
      </c>
      <c r="C497" s="1" t="n">
        <v>45783</v>
      </c>
      <c r="D497" t="inlineStr">
        <is>
          <t>SÖDERMANLANDS LÄN</t>
        </is>
      </c>
      <c r="E497" t="inlineStr">
        <is>
          <t>GNESTA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64-2024</t>
        </is>
      </c>
      <c r="B498" s="1" t="n">
        <v>45293</v>
      </c>
      <c r="C498" s="1" t="n">
        <v>45783</v>
      </c>
      <c r="D498" t="inlineStr">
        <is>
          <t>SÖDERMANLANDS LÄN</t>
        </is>
      </c>
      <c r="E498" t="inlineStr">
        <is>
          <t>GNESTA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63-2024</t>
        </is>
      </c>
      <c r="B499" s="1" t="n">
        <v>45293</v>
      </c>
      <c r="C499" s="1" t="n">
        <v>45783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67-2024</t>
        </is>
      </c>
      <c r="B500" s="1" t="n">
        <v>45293</v>
      </c>
      <c r="C500" s="1" t="n">
        <v>45783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599-2024</t>
        </is>
      </c>
      <c r="B501" s="1" t="n">
        <v>45299</v>
      </c>
      <c r="C501" s="1" t="n">
        <v>45783</v>
      </c>
      <c r="D501" t="inlineStr">
        <is>
          <t>SÖDERMANLANDS LÄN</t>
        </is>
      </c>
      <c r="E501" t="inlineStr">
        <is>
          <t>GNESTA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723-2024</t>
        </is>
      </c>
      <c r="B502" s="1" t="n">
        <v>45300</v>
      </c>
      <c r="C502" s="1" t="n">
        <v>45783</v>
      </c>
      <c r="D502" t="inlineStr">
        <is>
          <t>SÖDERMANLANDS LÄN</t>
        </is>
      </c>
      <c r="E502" t="inlineStr">
        <is>
          <t>GNESTA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1287-2024</t>
        </is>
      </c>
      <c r="B503" s="1" t="n">
        <v>45303</v>
      </c>
      <c r="C503" s="1" t="n">
        <v>45783</v>
      </c>
      <c r="D503" t="inlineStr">
        <is>
          <t>SÖDERMANLANDS LÄN</t>
        </is>
      </c>
      <c r="E503" t="inlineStr">
        <is>
          <t>GNESTA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1990-2024</t>
        </is>
      </c>
      <c r="B504" s="1" t="n">
        <v>45308</v>
      </c>
      <c r="C504" s="1" t="n">
        <v>45783</v>
      </c>
      <c r="D504" t="inlineStr">
        <is>
          <t>SÖDERMANLANDS LÄN</t>
        </is>
      </c>
      <c r="E504" t="inlineStr">
        <is>
          <t>GNESTA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2953-2024</t>
        </is>
      </c>
      <c r="B505" s="1" t="n">
        <v>45315</v>
      </c>
      <c r="C505" s="1" t="n">
        <v>45783</v>
      </c>
      <c r="D505" t="inlineStr">
        <is>
          <t>SÖDERMANLANDS LÄN</t>
        </is>
      </c>
      <c r="E505" t="inlineStr">
        <is>
          <t>GNESTA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3561-2024</t>
        </is>
      </c>
      <c r="B506" s="1" t="n">
        <v>45320</v>
      </c>
      <c r="C506" s="1" t="n">
        <v>45783</v>
      </c>
      <c r="D506" t="inlineStr">
        <is>
          <t>SÖDERMANLANDS LÄN</t>
        </is>
      </c>
      <c r="E506" t="inlineStr">
        <is>
          <t>GNESTA</t>
        </is>
      </c>
      <c r="G506" t="n">
        <v>16.5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3639-2024</t>
        </is>
      </c>
      <c r="B507" s="1" t="n">
        <v>45321</v>
      </c>
      <c r="C507" s="1" t="n">
        <v>45783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3869-2024</t>
        </is>
      </c>
      <c r="B508" s="1" t="n">
        <v>45322</v>
      </c>
      <c r="C508" s="1" t="n">
        <v>45783</v>
      </c>
      <c r="D508" t="inlineStr">
        <is>
          <t>SÖDERMANLANDS LÄN</t>
        </is>
      </c>
      <c r="E508" t="inlineStr">
        <is>
          <t>GNESTA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5555-2024</t>
        </is>
      </c>
      <c r="B509" s="1" t="n">
        <v>45334</v>
      </c>
      <c r="C509" s="1" t="n">
        <v>45783</v>
      </c>
      <c r="D509" t="inlineStr">
        <is>
          <t>SÖDERMANLANDS LÄN</t>
        </is>
      </c>
      <c r="E509" t="inlineStr">
        <is>
          <t>GNESTA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6219-2024</t>
        </is>
      </c>
      <c r="B510" s="1" t="n">
        <v>45337</v>
      </c>
      <c r="C510" s="1" t="n">
        <v>45783</v>
      </c>
      <c r="D510" t="inlineStr">
        <is>
          <t>SÖDERMANLANDS LÄN</t>
        </is>
      </c>
      <c r="E510" t="inlineStr">
        <is>
          <t>GNESTA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6228-2024</t>
        </is>
      </c>
      <c r="B511" s="1" t="n">
        <v>45337</v>
      </c>
      <c r="C511" s="1" t="n">
        <v>45783</v>
      </c>
      <c r="D511" t="inlineStr">
        <is>
          <t>SÖDERMANLANDS LÄN</t>
        </is>
      </c>
      <c r="E511" t="inlineStr">
        <is>
          <t>GNESTA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6520-2024</t>
        </is>
      </c>
      <c r="B512" s="1" t="n">
        <v>45341</v>
      </c>
      <c r="C512" s="1" t="n">
        <v>45783</v>
      </c>
      <c r="D512" t="inlineStr">
        <is>
          <t>SÖDERMANLANDS LÄN</t>
        </is>
      </c>
      <c r="E512" t="inlineStr">
        <is>
          <t>GNESTA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6519-2024</t>
        </is>
      </c>
      <c r="B513" s="1" t="n">
        <v>45341</v>
      </c>
      <c r="C513" s="1" t="n">
        <v>45783</v>
      </c>
      <c r="D513" t="inlineStr">
        <is>
          <t>SÖDERMANLANDS LÄN</t>
        </is>
      </c>
      <c r="E513" t="inlineStr">
        <is>
          <t>GNESTA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6521-2024</t>
        </is>
      </c>
      <c r="B514" s="1" t="n">
        <v>45341</v>
      </c>
      <c r="C514" s="1" t="n">
        <v>45783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6522-2024</t>
        </is>
      </c>
      <c r="B515" s="1" t="n">
        <v>45341</v>
      </c>
      <c r="C515" s="1" t="n">
        <v>45783</v>
      </c>
      <c r="D515" t="inlineStr">
        <is>
          <t>SÖDERMANLANDS LÄN</t>
        </is>
      </c>
      <c r="E515" t="inlineStr">
        <is>
          <t>GNESTA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6536-2024</t>
        </is>
      </c>
      <c r="B516" s="1" t="n">
        <v>45341</v>
      </c>
      <c r="C516" s="1" t="n">
        <v>45783</v>
      </c>
      <c r="D516" t="inlineStr">
        <is>
          <t>SÖDERMANLANDS LÄN</t>
        </is>
      </c>
      <c r="E516" t="inlineStr">
        <is>
          <t>GNESTA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6979-2024</t>
        </is>
      </c>
      <c r="B517" s="1" t="n">
        <v>45343</v>
      </c>
      <c r="C517" s="1" t="n">
        <v>45783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7394-2024</t>
        </is>
      </c>
      <c r="B518" s="1" t="n">
        <v>45345</v>
      </c>
      <c r="C518" s="1" t="n">
        <v>45783</v>
      </c>
      <c r="D518" t="inlineStr">
        <is>
          <t>SÖDERMANLANDS LÄN</t>
        </is>
      </c>
      <c r="E518" t="inlineStr">
        <is>
          <t>GNESTA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7423-2024</t>
        </is>
      </c>
      <c r="B519" s="1" t="n">
        <v>45345</v>
      </c>
      <c r="C519" s="1" t="n">
        <v>45783</v>
      </c>
      <c r="D519" t="inlineStr">
        <is>
          <t>SÖDERMANLANDS LÄN</t>
        </is>
      </c>
      <c r="E519" t="inlineStr">
        <is>
          <t>GNESTA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8358-2024</t>
        </is>
      </c>
      <c r="B520" s="1" t="n">
        <v>45352</v>
      </c>
      <c r="C520" s="1" t="n">
        <v>45783</v>
      </c>
      <c r="D520" t="inlineStr">
        <is>
          <t>SÖDERMANLANDS LÄN</t>
        </is>
      </c>
      <c r="E520" t="inlineStr">
        <is>
          <t>GNESTA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8437-2024</t>
        </is>
      </c>
      <c r="B521" s="1" t="n">
        <v>45353</v>
      </c>
      <c r="C521" s="1" t="n">
        <v>45783</v>
      </c>
      <c r="D521" t="inlineStr">
        <is>
          <t>SÖDERMANLANDS LÄN</t>
        </is>
      </c>
      <c r="E521" t="inlineStr">
        <is>
          <t>GNESTA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8995-2024</t>
        </is>
      </c>
      <c r="B522" s="1" t="n">
        <v>45357</v>
      </c>
      <c r="C522" s="1" t="n">
        <v>45783</v>
      </c>
      <c r="D522" t="inlineStr">
        <is>
          <t>SÖDERMANLANDS LÄN</t>
        </is>
      </c>
      <c r="E522" t="inlineStr">
        <is>
          <t>GNESTA</t>
        </is>
      </c>
      <c r="G522" t="n">
        <v>18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9134-2024</t>
        </is>
      </c>
      <c r="B523" s="1" t="n">
        <v>45358</v>
      </c>
      <c r="C523" s="1" t="n">
        <v>45783</v>
      </c>
      <c r="D523" t="inlineStr">
        <is>
          <t>SÖDERMANLANDS LÄN</t>
        </is>
      </c>
      <c r="E523" t="inlineStr">
        <is>
          <t>GNESTA</t>
        </is>
      </c>
      <c r="F523" t="inlineStr">
        <is>
          <t>Övriga Aktiebolag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9652-2024</t>
        </is>
      </c>
      <c r="B524" s="1" t="n">
        <v>45362</v>
      </c>
      <c r="C524" s="1" t="n">
        <v>45783</v>
      </c>
      <c r="D524" t="inlineStr">
        <is>
          <t>SÖDERMANLANDS LÄN</t>
        </is>
      </c>
      <c r="E524" t="inlineStr">
        <is>
          <t>GNESTA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9939-2024</t>
        </is>
      </c>
      <c r="B525" s="1" t="n">
        <v>45363</v>
      </c>
      <c r="C525" s="1" t="n">
        <v>45783</v>
      </c>
      <c r="D525" t="inlineStr">
        <is>
          <t>SÖDERMANLANDS LÄN</t>
        </is>
      </c>
      <c r="E525" t="inlineStr">
        <is>
          <t>GNESTA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9929-2024</t>
        </is>
      </c>
      <c r="B526" s="1" t="n">
        <v>45363</v>
      </c>
      <c r="C526" s="1" t="n">
        <v>45783</v>
      </c>
      <c r="D526" t="inlineStr">
        <is>
          <t>SÖDERMANLANDS LÄN</t>
        </is>
      </c>
      <c r="E526" t="inlineStr">
        <is>
          <t>GNESTA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10662-2024</t>
        </is>
      </c>
      <c r="B527" s="1" t="n">
        <v>45369</v>
      </c>
      <c r="C527" s="1" t="n">
        <v>45783</v>
      </c>
      <c r="D527" t="inlineStr">
        <is>
          <t>SÖDERMANLANDS LÄN</t>
        </is>
      </c>
      <c r="E527" t="inlineStr">
        <is>
          <t>GNESTA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12669-2024</t>
        </is>
      </c>
      <c r="B528" s="1" t="n">
        <v>45384</v>
      </c>
      <c r="C528" s="1" t="n">
        <v>45783</v>
      </c>
      <c r="D528" t="inlineStr">
        <is>
          <t>SÖDERMANLANDS LÄN</t>
        </is>
      </c>
      <c r="E528" t="inlineStr">
        <is>
          <t>GNESTA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13189-2024</t>
        </is>
      </c>
      <c r="B529" s="1" t="n">
        <v>45386</v>
      </c>
      <c r="C529" s="1" t="n">
        <v>45783</v>
      </c>
      <c r="D529" t="inlineStr">
        <is>
          <t>SÖDERMANLANDS LÄN</t>
        </is>
      </c>
      <c r="E529" t="inlineStr">
        <is>
          <t>GNESTA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13340-2024</t>
        </is>
      </c>
      <c r="B530" s="1" t="n">
        <v>45386</v>
      </c>
      <c r="C530" s="1" t="n">
        <v>45783</v>
      </c>
      <c r="D530" t="inlineStr">
        <is>
          <t>SÖDERMANLANDS LÄN</t>
        </is>
      </c>
      <c r="E530" t="inlineStr">
        <is>
          <t>GNESTA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13184-2024</t>
        </is>
      </c>
      <c r="B531" s="1" t="n">
        <v>45386</v>
      </c>
      <c r="C531" s="1" t="n">
        <v>45783</v>
      </c>
      <c r="D531" t="inlineStr">
        <is>
          <t>SÖDERMANLANDS LÄN</t>
        </is>
      </c>
      <c r="E531" t="inlineStr">
        <is>
          <t>GNESTA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13791-2024</t>
        </is>
      </c>
      <c r="B532" s="1" t="n">
        <v>45391</v>
      </c>
      <c r="C532" s="1" t="n">
        <v>45783</v>
      </c>
      <c r="D532" t="inlineStr">
        <is>
          <t>SÖDERMANLANDS LÄN</t>
        </is>
      </c>
      <c r="E532" t="inlineStr">
        <is>
          <t>GNESTA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16927-2024</t>
        </is>
      </c>
      <c r="B533" s="1" t="n">
        <v>45411</v>
      </c>
      <c r="C533" s="1" t="n">
        <v>45783</v>
      </c>
      <c r="D533" t="inlineStr">
        <is>
          <t>SÖDERMANLANDS LÄN</t>
        </is>
      </c>
      <c r="E533" t="inlineStr">
        <is>
          <t>GNESTA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17835-2024</t>
        </is>
      </c>
      <c r="B534" s="1" t="n">
        <v>45419</v>
      </c>
      <c r="C534" s="1" t="n">
        <v>45783</v>
      </c>
      <c r="D534" t="inlineStr">
        <is>
          <t>SÖDERMANLANDS LÄN</t>
        </is>
      </c>
      <c r="E534" t="inlineStr">
        <is>
          <t>GNESTA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19357-2024</t>
        </is>
      </c>
      <c r="B535" s="1" t="n">
        <v>45429</v>
      </c>
      <c r="C535" s="1" t="n">
        <v>45783</v>
      </c>
      <c r="D535" t="inlineStr">
        <is>
          <t>SÖDERMANLANDS LÄN</t>
        </is>
      </c>
      <c r="E535" t="inlineStr">
        <is>
          <t>GNESTA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19351-2024</t>
        </is>
      </c>
      <c r="B536" s="1" t="n">
        <v>45429</v>
      </c>
      <c r="C536" s="1" t="n">
        <v>45783</v>
      </c>
      <c r="D536" t="inlineStr">
        <is>
          <t>SÖDERMANLANDS LÄN</t>
        </is>
      </c>
      <c r="E536" t="inlineStr">
        <is>
          <t>GNESTA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19364-2024</t>
        </is>
      </c>
      <c r="B537" s="1" t="n">
        <v>45429</v>
      </c>
      <c r="C537" s="1" t="n">
        <v>45783</v>
      </c>
      <c r="D537" t="inlineStr">
        <is>
          <t>SÖDERMANLANDS LÄN</t>
        </is>
      </c>
      <c r="E537" t="inlineStr">
        <is>
          <t>GNESTA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21485-2024</t>
        </is>
      </c>
      <c r="B538" s="1" t="n">
        <v>45441</v>
      </c>
      <c r="C538" s="1" t="n">
        <v>45783</v>
      </c>
      <c r="D538" t="inlineStr">
        <is>
          <t>SÖDERMANLANDS LÄN</t>
        </is>
      </c>
      <c r="E538" t="inlineStr">
        <is>
          <t>GNESTA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21481-2024</t>
        </is>
      </c>
      <c r="B539" s="1" t="n">
        <v>45441</v>
      </c>
      <c r="C539" s="1" t="n">
        <v>45783</v>
      </c>
      <c r="D539" t="inlineStr">
        <is>
          <t>SÖDERMANLANDS LÄN</t>
        </is>
      </c>
      <c r="E539" t="inlineStr">
        <is>
          <t>GNESTA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22228-2024</t>
        </is>
      </c>
      <c r="B540" s="1" t="n">
        <v>45446</v>
      </c>
      <c r="C540" s="1" t="n">
        <v>45783</v>
      </c>
      <c r="D540" t="inlineStr">
        <is>
          <t>SÖDERMANLANDS LÄN</t>
        </is>
      </c>
      <c r="E540" t="inlineStr">
        <is>
          <t>GNESTA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22166-2024</t>
        </is>
      </c>
      <c r="B541" s="1" t="n">
        <v>45446</v>
      </c>
      <c r="C541" s="1" t="n">
        <v>45783</v>
      </c>
      <c r="D541" t="inlineStr">
        <is>
          <t>SÖDERMANLANDS LÄN</t>
        </is>
      </c>
      <c r="E541" t="inlineStr">
        <is>
          <t>GNESTA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22165-2024</t>
        </is>
      </c>
      <c r="B542" s="1" t="n">
        <v>45446</v>
      </c>
      <c r="C542" s="1" t="n">
        <v>45783</v>
      </c>
      <c r="D542" t="inlineStr">
        <is>
          <t>SÖDERMANLANDS LÄN</t>
        </is>
      </c>
      <c r="E542" t="inlineStr">
        <is>
          <t>GNESTA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23333-2024</t>
        </is>
      </c>
      <c r="B543" s="1" t="n">
        <v>45453</v>
      </c>
      <c r="C543" s="1" t="n">
        <v>45783</v>
      </c>
      <c r="D543" t="inlineStr">
        <is>
          <t>SÖDERMANLANDS LÄN</t>
        </is>
      </c>
      <c r="E543" t="inlineStr">
        <is>
          <t>GNESTA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25525-2024</t>
        </is>
      </c>
      <c r="B544" s="1" t="n">
        <v>45463</v>
      </c>
      <c r="C544" s="1" t="n">
        <v>45783</v>
      </c>
      <c r="D544" t="inlineStr">
        <is>
          <t>SÖDERMANLANDS LÄN</t>
        </is>
      </c>
      <c r="E544" t="inlineStr">
        <is>
          <t>GNESTA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25781-2024</t>
        </is>
      </c>
      <c r="B545" s="1" t="n">
        <v>45466</v>
      </c>
      <c r="C545" s="1" t="n">
        <v>45783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25784-2024</t>
        </is>
      </c>
      <c r="B546" s="1" t="n">
        <v>45466</v>
      </c>
      <c r="C546" s="1" t="n">
        <v>45783</v>
      </c>
      <c r="D546" t="inlineStr">
        <is>
          <t>SÖDERMANLANDS LÄN</t>
        </is>
      </c>
      <c r="E546" t="inlineStr">
        <is>
          <t>GNESTA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25915-2024</t>
        </is>
      </c>
      <c r="B547" s="1" t="n">
        <v>45467</v>
      </c>
      <c r="C547" s="1" t="n">
        <v>45783</v>
      </c>
      <c r="D547" t="inlineStr">
        <is>
          <t>SÖDERMANLANDS LÄN</t>
        </is>
      </c>
      <c r="E547" t="inlineStr">
        <is>
          <t>GNESTA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26138-2024</t>
        </is>
      </c>
      <c r="B548" s="1" t="n">
        <v>45468</v>
      </c>
      <c r="C548" s="1" t="n">
        <v>45783</v>
      </c>
      <c r="D548" t="inlineStr">
        <is>
          <t>SÖDERMANLANDS LÄN</t>
        </is>
      </c>
      <c r="E548" t="inlineStr">
        <is>
          <t>GNESTA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26141-2024</t>
        </is>
      </c>
      <c r="B549" s="1" t="n">
        <v>45468</v>
      </c>
      <c r="C549" s="1" t="n">
        <v>45783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27023-2024</t>
        </is>
      </c>
      <c r="B550" s="1" t="n">
        <v>45471</v>
      </c>
      <c r="C550" s="1" t="n">
        <v>45783</v>
      </c>
      <c r="D550" t="inlineStr">
        <is>
          <t>SÖDERMANLANDS LÄN</t>
        </is>
      </c>
      <c r="E550" t="inlineStr">
        <is>
          <t>GNESTA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27963-2024</t>
        </is>
      </c>
      <c r="B551" s="1" t="n">
        <v>45476</v>
      </c>
      <c r="C551" s="1" t="n">
        <v>45783</v>
      </c>
      <c r="D551" t="inlineStr">
        <is>
          <t>SÖDERMANLANDS LÄN</t>
        </is>
      </c>
      <c r="E551" t="inlineStr">
        <is>
          <t>GNESTA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28712-2024</t>
        </is>
      </c>
      <c r="B552" s="1" t="n">
        <v>45478</v>
      </c>
      <c r="C552" s="1" t="n">
        <v>45783</v>
      </c>
      <c r="D552" t="inlineStr">
        <is>
          <t>SÖDERMANLANDS LÄN</t>
        </is>
      </c>
      <c r="E552" t="inlineStr">
        <is>
          <t>GNESTA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28947-2024</t>
        </is>
      </c>
      <c r="B553" s="1" t="n">
        <v>45481</v>
      </c>
      <c r="C553" s="1" t="n">
        <v>45783</v>
      </c>
      <c r="D553" t="inlineStr">
        <is>
          <t>SÖDERMANLANDS LÄN</t>
        </is>
      </c>
      <c r="E553" t="inlineStr">
        <is>
          <t>GNESTA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29903-2024</t>
        </is>
      </c>
      <c r="B554" s="1" t="n">
        <v>45487</v>
      </c>
      <c r="C554" s="1" t="n">
        <v>45783</v>
      </c>
      <c r="D554" t="inlineStr">
        <is>
          <t>SÖDERMANLANDS LÄN</t>
        </is>
      </c>
      <c r="E554" t="inlineStr">
        <is>
          <t>GNESTA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29987-2024</t>
        </is>
      </c>
      <c r="B555" s="1" t="n">
        <v>45488</v>
      </c>
      <c r="C555" s="1" t="n">
        <v>45783</v>
      </c>
      <c r="D555" t="inlineStr">
        <is>
          <t>SÖDERMANLANDS LÄN</t>
        </is>
      </c>
      <c r="E555" t="inlineStr">
        <is>
          <t>GNESTA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30175-2024</t>
        </is>
      </c>
      <c r="B556" s="1" t="n">
        <v>45489</v>
      </c>
      <c r="C556" s="1" t="n">
        <v>45783</v>
      </c>
      <c r="D556" t="inlineStr">
        <is>
          <t>SÖDERMANLANDS LÄN</t>
        </is>
      </c>
      <c r="E556" t="inlineStr">
        <is>
          <t>GNESTA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30628-2024</t>
        </is>
      </c>
      <c r="B557" s="1" t="n">
        <v>45495</v>
      </c>
      <c r="C557" s="1" t="n">
        <v>45783</v>
      </c>
      <c r="D557" t="inlineStr">
        <is>
          <t>SÖDERMANLANDS LÄN</t>
        </is>
      </c>
      <c r="E557" t="inlineStr">
        <is>
          <t>GNESTA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30627-2024</t>
        </is>
      </c>
      <c r="B558" s="1" t="n">
        <v>45495</v>
      </c>
      <c r="C558" s="1" t="n">
        <v>45783</v>
      </c>
      <c r="D558" t="inlineStr">
        <is>
          <t>SÖDERMANLANDS LÄN</t>
        </is>
      </c>
      <c r="E558" t="inlineStr">
        <is>
          <t>GNESTA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30638-2024</t>
        </is>
      </c>
      <c r="B559" s="1" t="n">
        <v>45495</v>
      </c>
      <c r="C559" s="1" t="n">
        <v>45783</v>
      </c>
      <c r="D559" t="inlineStr">
        <is>
          <t>SÖDERMANLANDS LÄN</t>
        </is>
      </c>
      <c r="E559" t="inlineStr">
        <is>
          <t>GNESTA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30805-2024</t>
        </is>
      </c>
      <c r="B560" s="1" t="n">
        <v>45497</v>
      </c>
      <c r="C560" s="1" t="n">
        <v>45783</v>
      </c>
      <c r="D560" t="inlineStr">
        <is>
          <t>SÖDERMANLANDS LÄN</t>
        </is>
      </c>
      <c r="E560" t="inlineStr">
        <is>
          <t>GNESTA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30804-2024</t>
        </is>
      </c>
      <c r="B561" s="1" t="n">
        <v>45497</v>
      </c>
      <c r="C561" s="1" t="n">
        <v>45783</v>
      </c>
      <c r="D561" t="inlineStr">
        <is>
          <t>SÖDERMANLANDS LÄN</t>
        </is>
      </c>
      <c r="E561" t="inlineStr">
        <is>
          <t>GNESTA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31278-2024</t>
        </is>
      </c>
      <c r="B562" s="1" t="n">
        <v>45504</v>
      </c>
      <c r="C562" s="1" t="n">
        <v>45783</v>
      </c>
      <c r="D562" t="inlineStr">
        <is>
          <t>SÖDERMANLANDS LÄN</t>
        </is>
      </c>
      <c r="E562" t="inlineStr">
        <is>
          <t>GNESTA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31294-2024</t>
        </is>
      </c>
      <c r="B563" s="1" t="n">
        <v>45504</v>
      </c>
      <c r="C563" s="1" t="n">
        <v>45783</v>
      </c>
      <c r="D563" t="inlineStr">
        <is>
          <t>SÖDERMANLANDS LÄN</t>
        </is>
      </c>
      <c r="E563" t="inlineStr">
        <is>
          <t>GNESTA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31295-2024</t>
        </is>
      </c>
      <c r="B564" s="1" t="n">
        <v>45504</v>
      </c>
      <c r="C564" s="1" t="n">
        <v>45783</v>
      </c>
      <c r="D564" t="inlineStr">
        <is>
          <t>SÖDERMANLANDS LÄN</t>
        </is>
      </c>
      <c r="E564" t="inlineStr">
        <is>
          <t>GNESTA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33288-2024</t>
        </is>
      </c>
      <c r="B565" s="1" t="n">
        <v>45518</v>
      </c>
      <c r="C565" s="1" t="n">
        <v>45783</v>
      </c>
      <c r="D565" t="inlineStr">
        <is>
          <t>SÖDERMANLANDS LÄN</t>
        </is>
      </c>
      <c r="E565" t="inlineStr">
        <is>
          <t>GNESTA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33856-2024</t>
        </is>
      </c>
      <c r="B566" s="1" t="n">
        <v>45520</v>
      </c>
      <c r="C566" s="1" t="n">
        <v>45783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33833-2024</t>
        </is>
      </c>
      <c r="B567" s="1" t="n">
        <v>45520</v>
      </c>
      <c r="C567" s="1" t="n">
        <v>45783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34058-2024</t>
        </is>
      </c>
      <c r="B568" s="1" t="n">
        <v>45523</v>
      </c>
      <c r="C568" s="1" t="n">
        <v>45783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34077-2024</t>
        </is>
      </c>
      <c r="B569" s="1" t="n">
        <v>45523</v>
      </c>
      <c r="C569" s="1" t="n">
        <v>45783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34091-2024</t>
        </is>
      </c>
      <c r="B570" s="1" t="n">
        <v>45523</v>
      </c>
      <c r="C570" s="1" t="n">
        <v>45783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34080-2024</t>
        </is>
      </c>
      <c r="B571" s="1" t="n">
        <v>45523</v>
      </c>
      <c r="C571" s="1" t="n">
        <v>45783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37116-2024</t>
        </is>
      </c>
      <c r="B572" s="1" t="n">
        <v>45539</v>
      </c>
      <c r="C572" s="1" t="n">
        <v>45783</v>
      </c>
      <c r="D572" t="inlineStr">
        <is>
          <t>SÖDERMANLANDS LÄN</t>
        </is>
      </c>
      <c r="E572" t="inlineStr">
        <is>
          <t>GNESTA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37113-2024</t>
        </is>
      </c>
      <c r="B573" s="1" t="n">
        <v>45539</v>
      </c>
      <c r="C573" s="1" t="n">
        <v>45783</v>
      </c>
      <c r="D573" t="inlineStr">
        <is>
          <t>SÖDERMANLANDS LÄN</t>
        </is>
      </c>
      <c r="E573" t="inlineStr">
        <is>
          <t>GNESTA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38379-2024</t>
        </is>
      </c>
      <c r="B574" s="1" t="n">
        <v>45546</v>
      </c>
      <c r="C574" s="1" t="n">
        <v>45783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38417-2024</t>
        </is>
      </c>
      <c r="B575" s="1" t="n">
        <v>45546</v>
      </c>
      <c r="C575" s="1" t="n">
        <v>45783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38845-2024</t>
        </is>
      </c>
      <c r="B576" s="1" t="n">
        <v>45547</v>
      </c>
      <c r="C576" s="1" t="n">
        <v>45783</v>
      </c>
      <c r="D576" t="inlineStr">
        <is>
          <t>SÖDERMANLANDS LÄN</t>
        </is>
      </c>
      <c r="E576" t="inlineStr">
        <is>
          <t>GNESTA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39393-2024</t>
        </is>
      </c>
      <c r="B577" s="1" t="n">
        <v>45551</v>
      </c>
      <c r="C577" s="1" t="n">
        <v>45783</v>
      </c>
      <c r="D577" t="inlineStr">
        <is>
          <t>SÖDERMANLANDS LÄN</t>
        </is>
      </c>
      <c r="E577" t="inlineStr">
        <is>
          <t>GNESTA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39433-2024</t>
        </is>
      </c>
      <c r="B578" s="1" t="n">
        <v>45551</v>
      </c>
      <c r="C578" s="1" t="n">
        <v>45783</v>
      </c>
      <c r="D578" t="inlineStr">
        <is>
          <t>SÖDERMANLANDS LÄN</t>
        </is>
      </c>
      <c r="E578" t="inlineStr">
        <is>
          <t>GNESTA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40195-2024</t>
        </is>
      </c>
      <c r="B579" s="1" t="n">
        <v>45554</v>
      </c>
      <c r="C579" s="1" t="n">
        <v>45783</v>
      </c>
      <c r="D579" t="inlineStr">
        <is>
          <t>SÖDERMANLANDS LÄN</t>
        </is>
      </c>
      <c r="E579" t="inlineStr">
        <is>
          <t>GNESTA</t>
        </is>
      </c>
      <c r="G579" t="n">
        <v>16.7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40199-2024</t>
        </is>
      </c>
      <c r="B580" s="1" t="n">
        <v>45554</v>
      </c>
      <c r="C580" s="1" t="n">
        <v>45783</v>
      </c>
      <c r="D580" t="inlineStr">
        <is>
          <t>SÖDERMANLANDS LÄN</t>
        </is>
      </c>
      <c r="E580" t="inlineStr">
        <is>
          <t>GNESTA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40830-2024</t>
        </is>
      </c>
      <c r="B581" s="1" t="n">
        <v>45558</v>
      </c>
      <c r="C581" s="1" t="n">
        <v>45783</v>
      </c>
      <c r="D581" t="inlineStr">
        <is>
          <t>SÖDERMANLANDS LÄN</t>
        </is>
      </c>
      <c r="E581" t="inlineStr">
        <is>
          <t>GNESTA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41515-2024</t>
        </is>
      </c>
      <c r="B582" s="1" t="n">
        <v>45560</v>
      </c>
      <c r="C582" s="1" t="n">
        <v>45783</v>
      </c>
      <c r="D582" t="inlineStr">
        <is>
          <t>SÖDERMANLANDS LÄN</t>
        </is>
      </c>
      <c r="E582" t="inlineStr">
        <is>
          <t>GNESTA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43246-2024</t>
        </is>
      </c>
      <c r="B583" s="1" t="n">
        <v>45568</v>
      </c>
      <c r="C583" s="1" t="n">
        <v>45783</v>
      </c>
      <c r="D583" t="inlineStr">
        <is>
          <t>SÖDERMANLANDS LÄN</t>
        </is>
      </c>
      <c r="E583" t="inlineStr">
        <is>
          <t>GNESTA</t>
        </is>
      </c>
      <c r="F583" t="inlineStr">
        <is>
          <t>Holmen skog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43533-2024</t>
        </is>
      </c>
      <c r="B584" s="1" t="n">
        <v>45569</v>
      </c>
      <c r="C584" s="1" t="n">
        <v>45783</v>
      </c>
      <c r="D584" t="inlineStr">
        <is>
          <t>SÖDERMANLANDS LÄN</t>
        </is>
      </c>
      <c r="E584" t="inlineStr">
        <is>
          <t>GNESTA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44381-2024</t>
        </is>
      </c>
      <c r="B585" s="1" t="n">
        <v>45573</v>
      </c>
      <c r="C585" s="1" t="n">
        <v>45783</v>
      </c>
      <c r="D585" t="inlineStr">
        <is>
          <t>SÖDERMANLANDS LÄN</t>
        </is>
      </c>
      <c r="E585" t="inlineStr">
        <is>
          <t>GNESTA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44331-2024</t>
        </is>
      </c>
      <c r="B586" s="1" t="n">
        <v>45573</v>
      </c>
      <c r="C586" s="1" t="n">
        <v>45783</v>
      </c>
      <c r="D586" t="inlineStr">
        <is>
          <t>SÖDERMANLANDS LÄN</t>
        </is>
      </c>
      <c r="E586" t="inlineStr">
        <is>
          <t>GNESTA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45515-2024</t>
        </is>
      </c>
      <c r="B587" s="1" t="n">
        <v>45578</v>
      </c>
      <c r="C587" s="1" t="n">
        <v>45783</v>
      </c>
      <c r="D587" t="inlineStr">
        <is>
          <t>SÖDERMANLANDS LÄN</t>
        </is>
      </c>
      <c r="E587" t="inlineStr">
        <is>
          <t>GNESTA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45925-2024</t>
        </is>
      </c>
      <c r="B588" s="1" t="n">
        <v>45580</v>
      </c>
      <c r="C588" s="1" t="n">
        <v>45783</v>
      </c>
      <c r="D588" t="inlineStr">
        <is>
          <t>SÖDERMANLANDS LÄN</t>
        </is>
      </c>
      <c r="E588" t="inlineStr">
        <is>
          <t>GNESTA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50859-2024</t>
        </is>
      </c>
      <c r="B589" s="1" t="n">
        <v>45602</v>
      </c>
      <c r="C589" s="1" t="n">
        <v>45783</v>
      </c>
      <c r="D589" t="inlineStr">
        <is>
          <t>SÖDERMANLANDS LÄN</t>
        </is>
      </c>
      <c r="E589" t="inlineStr">
        <is>
          <t>GNESTA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50843-2024</t>
        </is>
      </c>
      <c r="B590" s="1" t="n">
        <v>45602</v>
      </c>
      <c r="C590" s="1" t="n">
        <v>45783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51104-2024</t>
        </is>
      </c>
      <c r="B591" s="1" t="n">
        <v>45603</v>
      </c>
      <c r="C591" s="1" t="n">
        <v>45783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53550-2024</t>
        </is>
      </c>
      <c r="B592" s="1" t="n">
        <v>45614</v>
      </c>
      <c r="C592" s="1" t="n">
        <v>45783</v>
      </c>
      <c r="D592" t="inlineStr">
        <is>
          <t>SÖDERMANLANDS LÄN</t>
        </is>
      </c>
      <c r="E592" t="inlineStr">
        <is>
          <t>GNESTA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54307-2024</t>
        </is>
      </c>
      <c r="B593" s="1" t="n">
        <v>45617</v>
      </c>
      <c r="C593" s="1" t="n">
        <v>45783</v>
      </c>
      <c r="D593" t="inlineStr">
        <is>
          <t>SÖDERMANLANDS LÄN</t>
        </is>
      </c>
      <c r="E593" t="inlineStr">
        <is>
          <t>GNESTA</t>
        </is>
      </c>
      <c r="G593" t="n">
        <v>34.8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55619-2024</t>
        </is>
      </c>
      <c r="B594" s="1" t="n">
        <v>45622</v>
      </c>
      <c r="C594" s="1" t="n">
        <v>45783</v>
      </c>
      <c r="D594" t="inlineStr">
        <is>
          <t>SÖDERMANLANDS LÄN</t>
        </is>
      </c>
      <c r="E594" t="inlineStr">
        <is>
          <t>GNESTA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57014-2024</t>
        </is>
      </c>
      <c r="B595" s="1" t="n">
        <v>45628</v>
      </c>
      <c r="C595" s="1" t="n">
        <v>45783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57569-2024</t>
        </is>
      </c>
      <c r="B596" s="1" t="n">
        <v>45630</v>
      </c>
      <c r="C596" s="1" t="n">
        <v>45783</v>
      </c>
      <c r="D596" t="inlineStr">
        <is>
          <t>SÖDERMANLANDS LÄN</t>
        </is>
      </c>
      <c r="E596" t="inlineStr">
        <is>
          <t>GNESTA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57765-2024</t>
        </is>
      </c>
      <c r="B597" s="1" t="n">
        <v>45630</v>
      </c>
      <c r="C597" s="1" t="n">
        <v>45783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61032-2024</t>
        </is>
      </c>
      <c r="B598" s="1" t="n">
        <v>45644</v>
      </c>
      <c r="C598" s="1" t="n">
        <v>45783</v>
      </c>
      <c r="D598" t="inlineStr">
        <is>
          <t>SÖDERMANLANDS LÄN</t>
        </is>
      </c>
      <c r="E598" t="inlineStr">
        <is>
          <t>GNESTA</t>
        </is>
      </c>
      <c r="G598" t="n">
        <v>22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60948-2024</t>
        </is>
      </c>
      <c r="B599" s="1" t="n">
        <v>45645</v>
      </c>
      <c r="C599" s="1" t="n">
        <v>45783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61134-2024</t>
        </is>
      </c>
      <c r="B600" s="1" t="n">
        <v>45645</v>
      </c>
      <c r="C600" s="1" t="n">
        <v>45783</v>
      </c>
      <c r="D600" t="inlineStr">
        <is>
          <t>SÖDERMANLANDS LÄN</t>
        </is>
      </c>
      <c r="E600" t="inlineStr">
        <is>
          <t>GNESTA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61142-2024</t>
        </is>
      </c>
      <c r="B601" s="1" t="n">
        <v>45645</v>
      </c>
      <c r="C601" s="1" t="n">
        <v>45783</v>
      </c>
      <c r="D601" t="inlineStr">
        <is>
          <t>SÖDERMANLANDS LÄN</t>
        </is>
      </c>
      <c r="E601" t="inlineStr">
        <is>
          <t>GNESTA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1160-2025</t>
        </is>
      </c>
      <c r="B602" s="1" t="n">
        <v>45666</v>
      </c>
      <c r="C602" s="1" t="n">
        <v>45783</v>
      </c>
      <c r="D602" t="inlineStr">
        <is>
          <t>SÖDERMANLANDS LÄN</t>
        </is>
      </c>
      <c r="E602" t="inlineStr">
        <is>
          <t>GNESTA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1600-2025</t>
        </is>
      </c>
      <c r="B603" s="1" t="n">
        <v>45667</v>
      </c>
      <c r="C603" s="1" t="n">
        <v>45783</v>
      </c>
      <c r="D603" t="inlineStr">
        <is>
          <t>SÖDERMANLANDS LÄN</t>
        </is>
      </c>
      <c r="E603" t="inlineStr">
        <is>
          <t>GNESTA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2160-2025</t>
        </is>
      </c>
      <c r="B604" s="1" t="n">
        <v>45672</v>
      </c>
      <c r="C604" s="1" t="n">
        <v>45783</v>
      </c>
      <c r="D604" t="inlineStr">
        <is>
          <t>SÖDERMANLANDS LÄN</t>
        </is>
      </c>
      <c r="E604" t="inlineStr">
        <is>
          <t>GNESTA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2218-2025</t>
        </is>
      </c>
      <c r="B605" s="1" t="n">
        <v>45673</v>
      </c>
      <c r="C605" s="1" t="n">
        <v>45783</v>
      </c>
      <c r="D605" t="inlineStr">
        <is>
          <t>SÖDERMANLANDS LÄN</t>
        </is>
      </c>
      <c r="E605" t="inlineStr">
        <is>
          <t>GNESTA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2291-2025</t>
        </is>
      </c>
      <c r="B606" s="1" t="n">
        <v>45673</v>
      </c>
      <c r="C606" s="1" t="n">
        <v>45783</v>
      </c>
      <c r="D606" t="inlineStr">
        <is>
          <t>SÖDERMANLANDS LÄN</t>
        </is>
      </c>
      <c r="E606" t="inlineStr">
        <is>
          <t>GNESTA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2225-2025</t>
        </is>
      </c>
      <c r="B607" s="1" t="n">
        <v>45673</v>
      </c>
      <c r="C607" s="1" t="n">
        <v>45783</v>
      </c>
      <c r="D607" t="inlineStr">
        <is>
          <t>SÖDERMANLANDS LÄN</t>
        </is>
      </c>
      <c r="E607" t="inlineStr">
        <is>
          <t>GNESTA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3306-2025</t>
        </is>
      </c>
      <c r="B608" s="1" t="n">
        <v>45679</v>
      </c>
      <c r="C608" s="1" t="n">
        <v>45783</v>
      </c>
      <c r="D608" t="inlineStr">
        <is>
          <t>SÖDERMANLANDS LÄN</t>
        </is>
      </c>
      <c r="E608" t="inlineStr">
        <is>
          <t>GNESTA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3620-2025</t>
        </is>
      </c>
      <c r="B609" s="1" t="n">
        <v>45681</v>
      </c>
      <c r="C609" s="1" t="n">
        <v>45783</v>
      </c>
      <c r="D609" t="inlineStr">
        <is>
          <t>SÖDERMANLANDS LÄN</t>
        </is>
      </c>
      <c r="E609" t="inlineStr">
        <is>
          <t>GNESTA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5233-2025</t>
        </is>
      </c>
      <c r="B610" s="1" t="n">
        <v>45691</v>
      </c>
      <c r="C610" s="1" t="n">
        <v>45783</v>
      </c>
      <c r="D610" t="inlineStr">
        <is>
          <t>SÖDERMANLANDS LÄN</t>
        </is>
      </c>
      <c r="E610" t="inlineStr">
        <is>
          <t>GNESTA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7873-2025</t>
        </is>
      </c>
      <c r="B611" s="1" t="n">
        <v>45706</v>
      </c>
      <c r="C611" s="1" t="n">
        <v>45783</v>
      </c>
      <c r="D611" t="inlineStr">
        <is>
          <t>SÖDERMANLANDS LÄN</t>
        </is>
      </c>
      <c r="E611" t="inlineStr">
        <is>
          <t>GNESTA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9884-2025</t>
        </is>
      </c>
      <c r="B612" s="1" t="n">
        <v>45716</v>
      </c>
      <c r="C612" s="1" t="n">
        <v>45783</v>
      </c>
      <c r="D612" t="inlineStr">
        <is>
          <t>SÖDERMANLANDS LÄN</t>
        </is>
      </c>
      <c r="E612" t="inlineStr">
        <is>
          <t>GNESTA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10331-2025</t>
        </is>
      </c>
      <c r="B613" s="1" t="n">
        <v>45720</v>
      </c>
      <c r="C613" s="1" t="n">
        <v>45783</v>
      </c>
      <c r="D613" t="inlineStr">
        <is>
          <t>SÖDERMANLANDS LÄN</t>
        </is>
      </c>
      <c r="E613" t="inlineStr">
        <is>
          <t>GNESTA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45783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15840-2025</t>
        </is>
      </c>
      <c r="B615" s="1" t="n">
        <v>45748</v>
      </c>
      <c r="C615" s="1" t="n">
        <v>45783</v>
      </c>
      <c r="D615" t="inlineStr">
        <is>
          <t>SÖDERMANLANDS LÄN</t>
        </is>
      </c>
      <c r="E615" t="inlineStr">
        <is>
          <t>GNESTA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15841-2025</t>
        </is>
      </c>
      <c r="B616" s="1" t="n">
        <v>45748</v>
      </c>
      <c r="C616" s="1" t="n">
        <v>45783</v>
      </c>
      <c r="D616" t="inlineStr">
        <is>
          <t>SÖDERMANLANDS LÄN</t>
        </is>
      </c>
      <c r="E616" t="inlineStr">
        <is>
          <t>GNESTA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20168-2025</t>
        </is>
      </c>
      <c r="B617" s="1" t="n">
        <v>45772</v>
      </c>
      <c r="C617" s="1" t="n">
        <v>45783</v>
      </c>
      <c r="D617" t="inlineStr">
        <is>
          <t>SÖDERMANLANDS LÄN</t>
        </is>
      </c>
      <c r="E617" t="inlineStr">
        <is>
          <t>GNESTA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21220-2025</t>
        </is>
      </c>
      <c r="B618" s="1" t="n">
        <v>45779</v>
      </c>
      <c r="C618" s="1" t="n">
        <v>45783</v>
      </c>
      <c r="D618" t="inlineStr">
        <is>
          <t>SÖDERMANLANDS LÄN</t>
        </is>
      </c>
      <c r="E618" t="inlineStr">
        <is>
          <t>GNESTA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2025-05-06T17:22:02Z</dcterms:created>
  <dcterms:modified xmlns:dcterms="http://purl.org/dc/terms/" xmlns:xsi="http://www.w3.org/2001/XMLSchema-instance" xsi:type="dcterms:W3CDTF">2025-05-06T17:22:03Z</dcterms:modified>
</cp:coreProperties>
</file>