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45509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45509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45509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45509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45509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45509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45509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45509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45509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45509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45509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45509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45509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45509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45509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45509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45509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45509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45509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45509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45509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45509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45509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45509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45509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45509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45509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45509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45509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45509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45509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45509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45509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45509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45509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45509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45509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45509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45509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45509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17653-2023</t>
        </is>
      </c>
      <c r="B42" s="1" t="n">
        <v>45036</v>
      </c>
      <c r="C42" s="1" t="n">
        <v>45509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Bronspraktbagge</t>
        </is>
      </c>
      <c r="S42">
        <f>HYPERLINK("https://klasma.github.io/Logging_0461/artfynd/A 17653-2023 artfynd.xlsx", "A 17653-2023")</f>
        <v/>
      </c>
      <c r="T42">
        <f>HYPERLINK("https://klasma.github.io/Logging_0461/kartor/A 17653-2023 karta.png", "A 17653-2023")</f>
        <v/>
      </c>
      <c r="V42">
        <f>HYPERLINK("https://klasma.github.io/Logging_0461/klagomål/A 17653-2023 FSC-klagomål.docx", "A 17653-2023")</f>
        <v/>
      </c>
      <c r="W42">
        <f>HYPERLINK("https://klasma.github.io/Logging_0461/klagomålsmail/A 17653-2023 FSC-klagomål mail.docx", "A 17653-2023")</f>
        <v/>
      </c>
      <c r="X42">
        <f>HYPERLINK("https://klasma.github.io/Logging_0461/tillsyn/A 17653-2023 tillsynsbegäran.docx", "A 17653-2023")</f>
        <v/>
      </c>
      <c r="Y42">
        <f>HYPERLINK("https://klasma.github.io/Logging_0461/tillsynsmail/A 17653-2023 tillsynsbegäran mail.docx", "A 17653-2023")</f>
        <v/>
      </c>
    </row>
    <row r="43" ht="15" customHeight="1">
      <c r="A43" t="inlineStr">
        <is>
          <t>A 33639-2023</t>
        </is>
      </c>
      <c r="B43" s="1" t="n">
        <v>45119</v>
      </c>
      <c r="C43" s="1" t="n">
        <v>45509</v>
      </c>
      <c r="D43" t="inlineStr">
        <is>
          <t>SÖDERMANLANDS LÄN</t>
        </is>
      </c>
      <c r="E43" t="inlineStr">
        <is>
          <t>GNESTA</t>
        </is>
      </c>
      <c r="G43" t="n">
        <v>6.1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HYPERLINK("https://klasma.github.io/Logging_0461/artfynd/A 33639-2023 artfynd.xlsx", "A 33639-2023")</f>
        <v/>
      </c>
      <c r="T43">
        <f>HYPERLINK("https://klasma.github.io/Logging_0461/kartor/A 33639-2023 karta.png", "A 33639-2023")</f>
        <v/>
      </c>
      <c r="V43">
        <f>HYPERLINK("https://klasma.github.io/Logging_0461/klagomål/A 33639-2023 FSC-klagomål.docx", "A 33639-2023")</f>
        <v/>
      </c>
      <c r="W43">
        <f>HYPERLINK("https://klasma.github.io/Logging_0461/klagomålsmail/A 33639-2023 FSC-klagomål mail.docx", "A 33639-2023")</f>
        <v/>
      </c>
      <c r="X43">
        <f>HYPERLINK("https://klasma.github.io/Logging_0461/tillsyn/A 33639-2023 tillsynsbegäran.docx", "A 33639-2023")</f>
        <v/>
      </c>
      <c r="Y43">
        <f>HYPERLINK("https://klasma.github.io/Logging_0461/tillsynsmail/A 33639-2023 tillsynsbegäran mail.docx", "A 33639-2023")</f>
        <v/>
      </c>
    </row>
    <row r="44" ht="15" customHeight="1">
      <c r="A44" t="inlineStr">
        <is>
          <t>A 40267-2023</t>
        </is>
      </c>
      <c r="B44" s="1" t="n">
        <v>45169</v>
      </c>
      <c r="C44" s="1" t="n">
        <v>45509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40267-2023 artfynd.xlsx", "A 40267-2023")</f>
        <v/>
      </c>
      <c r="T44">
        <f>HYPERLINK("https://klasma.github.io/Logging_0461/kartor/A 40267-2023 karta.png", "A 40267-2023")</f>
        <v/>
      </c>
      <c r="V44">
        <f>HYPERLINK("https://klasma.github.io/Logging_0461/klagomål/A 40267-2023 FSC-klagomål.docx", "A 40267-2023")</f>
        <v/>
      </c>
      <c r="W44">
        <f>HYPERLINK("https://klasma.github.io/Logging_0461/klagomålsmail/A 40267-2023 FSC-klagomål mail.docx", "A 40267-2023")</f>
        <v/>
      </c>
      <c r="X44">
        <f>HYPERLINK("https://klasma.github.io/Logging_0461/tillsyn/A 40267-2023 tillsynsbegäran.docx", "A 40267-2023")</f>
        <v/>
      </c>
      <c r="Y44">
        <f>HYPERLINK("https://klasma.github.io/Logging_0461/tillsynsmail/A 40267-2023 tillsynsbegäran mail.docx", "A 40267-2023")</f>
        <v/>
      </c>
    </row>
    <row r="45" ht="15" customHeight="1">
      <c r="A45" t="inlineStr">
        <is>
          <t>A 42552-2023</t>
        </is>
      </c>
      <c r="B45" s="1" t="n">
        <v>45181</v>
      </c>
      <c r="C45" s="1" t="n">
        <v>45509</v>
      </c>
      <c r="D45" t="inlineStr">
        <is>
          <t>SÖDERMANLANDS LÄN</t>
        </is>
      </c>
      <c r="E45" t="inlineStr">
        <is>
          <t>GNESTA</t>
        </is>
      </c>
      <c r="F45" t="inlineStr">
        <is>
          <t>Holmen skog AB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42552-2023 artfynd.xlsx", "A 42552-2023")</f>
        <v/>
      </c>
      <c r="T45">
        <f>HYPERLINK("https://klasma.github.io/Logging_0461/kartor/A 42552-2023 karta.png", "A 42552-2023")</f>
        <v/>
      </c>
      <c r="V45">
        <f>HYPERLINK("https://klasma.github.io/Logging_0461/klagomål/A 42552-2023 FSC-klagomål.docx", "A 42552-2023")</f>
        <v/>
      </c>
      <c r="W45">
        <f>HYPERLINK("https://klasma.github.io/Logging_0461/klagomålsmail/A 42552-2023 FSC-klagomål mail.docx", "A 42552-2023")</f>
        <v/>
      </c>
      <c r="X45">
        <f>HYPERLINK("https://klasma.github.io/Logging_0461/tillsyn/A 42552-2023 tillsynsbegäran.docx", "A 42552-2023")</f>
        <v/>
      </c>
      <c r="Y45">
        <f>HYPERLINK("https://klasma.github.io/Logging_0461/tillsynsmail/A 42552-2023 tillsynsbegäran mail.docx", "A 42552-2023")</f>
        <v/>
      </c>
    </row>
    <row r="46" ht="15" customHeight="1">
      <c r="A46" t="inlineStr">
        <is>
          <t>A 62737-2023</t>
        </is>
      </c>
      <c r="B46" s="1" t="n">
        <v>45271</v>
      </c>
      <c r="C46" s="1" t="n">
        <v>45509</v>
      </c>
      <c r="D46" t="inlineStr">
        <is>
          <t>SÖDERMANLANDS LÄN</t>
        </is>
      </c>
      <c r="E46" t="inlineStr">
        <is>
          <t>GNESTA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HYPERLINK("https://klasma.github.io/Logging_0461/artfynd/A 62737-2023 artfynd.xlsx", "A 62737-2023")</f>
        <v/>
      </c>
      <c r="T46">
        <f>HYPERLINK("https://klasma.github.io/Logging_0461/kartor/A 62737-2023 karta.png", "A 62737-2023")</f>
        <v/>
      </c>
      <c r="V46">
        <f>HYPERLINK("https://klasma.github.io/Logging_0461/klagomål/A 62737-2023 FSC-klagomål.docx", "A 62737-2023")</f>
        <v/>
      </c>
      <c r="W46">
        <f>HYPERLINK("https://klasma.github.io/Logging_0461/klagomålsmail/A 62737-2023 FSC-klagomål mail.docx", "A 62737-2023")</f>
        <v/>
      </c>
      <c r="X46">
        <f>HYPERLINK("https://klasma.github.io/Logging_0461/tillsyn/A 62737-2023 tillsynsbegäran.docx", "A 62737-2023")</f>
        <v/>
      </c>
      <c r="Y46">
        <f>HYPERLINK("https://klasma.github.io/Logging_0461/tillsynsmail/A 62737-2023 tillsynsbegäran mail.docx", "A 62737-2023")</f>
        <v/>
      </c>
    </row>
    <row r="47" ht="15" customHeight="1">
      <c r="A47" t="inlineStr">
        <is>
          <t>A 1712-2024</t>
        </is>
      </c>
      <c r="B47" s="1" t="n">
        <v>45307</v>
      </c>
      <c r="C47" s="1" t="n">
        <v>45509</v>
      </c>
      <c r="D47" t="inlineStr">
        <is>
          <t>SÖDERMANLANDS LÄN</t>
        </is>
      </c>
      <c r="E47" t="inlineStr">
        <is>
          <t>GNESTA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1712-2024 artfynd.xlsx", "A 1712-2024")</f>
        <v/>
      </c>
      <c r="T47">
        <f>HYPERLINK("https://klasma.github.io/Logging_0461/kartor/A 1712-2024 karta.png", "A 1712-2024")</f>
        <v/>
      </c>
      <c r="V47">
        <f>HYPERLINK("https://klasma.github.io/Logging_0461/klagomål/A 1712-2024 FSC-klagomål.docx", "A 1712-2024")</f>
        <v/>
      </c>
      <c r="W47">
        <f>HYPERLINK("https://klasma.github.io/Logging_0461/klagomålsmail/A 1712-2024 FSC-klagomål mail.docx", "A 1712-2024")</f>
        <v/>
      </c>
      <c r="X47">
        <f>HYPERLINK("https://klasma.github.io/Logging_0461/tillsyn/A 1712-2024 tillsynsbegäran.docx", "A 1712-2024")</f>
        <v/>
      </c>
      <c r="Y47">
        <f>HYPERLINK("https://klasma.github.io/Logging_0461/tillsynsmail/A 1712-2024 tillsynsbegäran mail.docx", "A 1712-2024")</f>
        <v/>
      </c>
    </row>
    <row r="48" ht="15" customHeight="1">
      <c r="A48" t="inlineStr">
        <is>
          <t>A 6539-2024</t>
        </is>
      </c>
      <c r="B48" s="1" t="n">
        <v>45341</v>
      </c>
      <c r="C48" s="1" t="n">
        <v>45509</v>
      </c>
      <c r="D48" t="inlineStr">
        <is>
          <t>SÖDERMANLANDS LÄN</t>
        </is>
      </c>
      <c r="E48" t="inlineStr">
        <is>
          <t>GNESTA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HYPERLINK("https://klasma.github.io/Logging_0461/artfynd/A 6539-2024 artfynd.xlsx", "A 6539-2024")</f>
        <v/>
      </c>
      <c r="T48">
        <f>HYPERLINK("https://klasma.github.io/Logging_0461/kartor/A 6539-2024 karta.png", "A 6539-2024")</f>
        <v/>
      </c>
      <c r="V48">
        <f>HYPERLINK("https://klasma.github.io/Logging_0461/klagomål/A 6539-2024 FSC-klagomål.docx", "A 6539-2024")</f>
        <v/>
      </c>
      <c r="W48">
        <f>HYPERLINK("https://klasma.github.io/Logging_0461/klagomålsmail/A 6539-2024 FSC-klagomål mail.docx", "A 6539-2024")</f>
        <v/>
      </c>
      <c r="X48">
        <f>HYPERLINK("https://klasma.github.io/Logging_0461/tillsyn/A 6539-2024 tillsynsbegäran.docx", "A 6539-2024")</f>
        <v/>
      </c>
      <c r="Y48">
        <f>HYPERLINK("https://klasma.github.io/Logging_0461/tillsynsmail/A 6539-2024 tillsynsbegäran mail.docx", "A 6539-2024")</f>
        <v/>
      </c>
    </row>
    <row r="49" ht="15" customHeight="1">
      <c r="A49" t="inlineStr">
        <is>
          <t>A 25976-2024</t>
        </is>
      </c>
      <c r="B49" s="1" t="n">
        <v>45467</v>
      </c>
      <c r="C49" s="1" t="n">
        <v>45509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HYPERLINK("https://klasma.github.io/Logging_0461/artfynd/A 25976-2024 artfynd.xlsx", "A 25976-2024")</f>
        <v/>
      </c>
      <c r="T49">
        <f>HYPERLINK("https://klasma.github.io/Logging_0461/kartor/A 25976-2024 karta.png", "A 25976-2024")</f>
        <v/>
      </c>
      <c r="V49">
        <f>HYPERLINK("https://klasma.github.io/Logging_0461/klagomål/A 25976-2024 FSC-klagomål.docx", "A 25976-2024")</f>
        <v/>
      </c>
      <c r="W49">
        <f>HYPERLINK("https://klasma.github.io/Logging_0461/klagomålsmail/A 25976-2024 FSC-klagomål mail.docx", "A 25976-2024")</f>
        <v/>
      </c>
      <c r="X49">
        <f>HYPERLINK("https://klasma.github.io/Logging_0461/tillsyn/A 25976-2024 tillsynsbegäran.docx", "A 25976-2024")</f>
        <v/>
      </c>
      <c r="Y49">
        <f>HYPERLINK("https://klasma.github.io/Logging_0461/tillsynsmail/A 25976-2024 tillsynsbegäran mail.docx", "A 25976-2024")</f>
        <v/>
      </c>
    </row>
    <row r="50" ht="15" customHeight="1">
      <c r="A50" t="inlineStr">
        <is>
          <t>A 29986-2024</t>
        </is>
      </c>
      <c r="B50" s="1" t="n">
        <v>45488</v>
      </c>
      <c r="C50" s="1" t="n">
        <v>45509</v>
      </c>
      <c r="D50" t="inlineStr">
        <is>
          <t>SÖDERMANLANDS LÄN</t>
        </is>
      </c>
      <c r="E50" t="inlineStr">
        <is>
          <t>GNESTA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HYPERLINK("https://klasma.github.io/Logging_0461/artfynd/A 29986-2024 artfynd.xlsx", "A 29986-2024")</f>
        <v/>
      </c>
      <c r="T50">
        <f>HYPERLINK("https://klasma.github.io/Logging_0461/kartor/A 29986-2024 karta.png", "A 29986-2024")</f>
        <v/>
      </c>
      <c r="U50">
        <f>HYPERLINK("https://klasma.github.io/Logging_0461/knärot/A 29986-2024 karta knärot.png", "A 29986-2024")</f>
        <v/>
      </c>
      <c r="V50">
        <f>HYPERLINK("https://klasma.github.io/Logging_0461/klagomål/A 29986-2024 FSC-klagomål.docx", "A 29986-2024")</f>
        <v/>
      </c>
      <c r="W50">
        <f>HYPERLINK("https://klasma.github.io/Logging_0461/klagomålsmail/A 29986-2024 FSC-klagomål mail.docx", "A 29986-2024")</f>
        <v/>
      </c>
      <c r="X50">
        <f>HYPERLINK("https://klasma.github.io/Logging_0461/tillsyn/A 29986-2024 tillsynsbegäran.docx", "A 29986-2024")</f>
        <v/>
      </c>
      <c r="Y50">
        <f>HYPERLINK("https://klasma.github.io/Logging_0461/tillsynsmail/A 29986-2024 tillsynsbegäran mail.docx", "A 29986-2024")</f>
        <v/>
      </c>
    </row>
    <row r="51" ht="15" customHeight="1">
      <c r="A51" t="inlineStr">
        <is>
          <t>A 18002-2019</t>
        </is>
      </c>
      <c r="B51" s="1" t="n">
        <v>43556</v>
      </c>
      <c r="C51" s="1" t="n">
        <v>45509</v>
      </c>
      <c r="D51" t="inlineStr">
        <is>
          <t>SÖDERMANLANDS LÄN</t>
        </is>
      </c>
      <c r="E51" t="inlineStr">
        <is>
          <t>GNESTA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18639-2019</t>
        </is>
      </c>
      <c r="B52" s="1" t="n">
        <v>43559</v>
      </c>
      <c r="C52" s="1" t="n">
        <v>45509</v>
      </c>
      <c r="D52" t="inlineStr">
        <is>
          <t>SÖDERMANLANDS LÄN</t>
        </is>
      </c>
      <c r="E52" t="inlineStr">
        <is>
          <t>GNESTA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18892-2019</t>
        </is>
      </c>
      <c r="B53" s="1" t="n">
        <v>43563</v>
      </c>
      <c r="C53" s="1" t="n">
        <v>45509</v>
      </c>
      <c r="D53" t="inlineStr">
        <is>
          <t>SÖDERMANLANDS LÄN</t>
        </is>
      </c>
      <c r="E53" t="inlineStr">
        <is>
          <t>GNESTA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19166-2019</t>
        </is>
      </c>
      <c r="B54" s="1" t="n">
        <v>43564</v>
      </c>
      <c r="C54" s="1" t="n">
        <v>45509</v>
      </c>
      <c r="D54" t="inlineStr">
        <is>
          <t>SÖDERMANLANDS LÄN</t>
        </is>
      </c>
      <c r="E54" t="inlineStr">
        <is>
          <t>GNESTA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19804-2019</t>
        </is>
      </c>
      <c r="B55" s="1" t="n">
        <v>43566</v>
      </c>
      <c r="C55" s="1" t="n">
        <v>45509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20529-2019</t>
        </is>
      </c>
      <c r="B56" s="1" t="n">
        <v>43572</v>
      </c>
      <c r="C56" s="1" t="n">
        <v>45509</v>
      </c>
      <c r="D56" t="inlineStr">
        <is>
          <t>SÖDERMANLANDS LÄN</t>
        </is>
      </c>
      <c r="E56" t="inlineStr">
        <is>
          <t>GNESTA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21691-2019</t>
        </is>
      </c>
      <c r="B57" s="1" t="n">
        <v>43581</v>
      </c>
      <c r="C57" s="1" t="n">
        <v>45509</v>
      </c>
      <c r="D57" t="inlineStr">
        <is>
          <t>SÖDERMANLANDS LÄN</t>
        </is>
      </c>
      <c r="E57" t="inlineStr">
        <is>
          <t>GNESTA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22100-2019</t>
        </is>
      </c>
      <c r="B58" s="1" t="n">
        <v>43584</v>
      </c>
      <c r="C58" s="1" t="n">
        <v>45509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22101-2019</t>
        </is>
      </c>
      <c r="B59" s="1" t="n">
        <v>43584</v>
      </c>
      <c r="C59" s="1" t="n">
        <v>45509</v>
      </c>
      <c r="D59" t="inlineStr">
        <is>
          <t>SÖDERMANLANDS LÄN</t>
        </is>
      </c>
      <c r="E59" t="inlineStr">
        <is>
          <t>GNESTA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23506-2019</t>
        </is>
      </c>
      <c r="B60" s="1" t="n">
        <v>43593</v>
      </c>
      <c r="C60" s="1" t="n">
        <v>45509</v>
      </c>
      <c r="D60" t="inlineStr">
        <is>
          <t>SÖDERMANLANDS LÄN</t>
        </is>
      </c>
      <c r="E60" t="inlineStr">
        <is>
          <t>GNESTA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25294-2019</t>
        </is>
      </c>
      <c r="B61" s="1" t="n">
        <v>43605</v>
      </c>
      <c r="C61" s="1" t="n">
        <v>45509</v>
      </c>
      <c r="D61" t="inlineStr">
        <is>
          <t>SÖDERMANLANDS LÄN</t>
        </is>
      </c>
      <c r="E61" t="inlineStr">
        <is>
          <t>GNESTA</t>
        </is>
      </c>
      <c r="F61" t="inlineStr">
        <is>
          <t>Kommuner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35061-2019</t>
        </is>
      </c>
      <c r="B62" s="1" t="n">
        <v>43661</v>
      </c>
      <c r="C62" s="1" t="n">
        <v>45509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37715-2019</t>
        </is>
      </c>
      <c r="B63" s="1" t="n">
        <v>43682</v>
      </c>
      <c r="C63" s="1" t="n">
        <v>45509</v>
      </c>
      <c r="D63" t="inlineStr">
        <is>
          <t>SÖDERMANLANDS LÄN</t>
        </is>
      </c>
      <c r="E63" t="inlineStr">
        <is>
          <t>GNESTA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37712-2019</t>
        </is>
      </c>
      <c r="B64" s="1" t="n">
        <v>43682</v>
      </c>
      <c r="C64" s="1" t="n">
        <v>45509</v>
      </c>
      <c r="D64" t="inlineStr">
        <is>
          <t>SÖDERMANLANDS LÄN</t>
        </is>
      </c>
      <c r="E64" t="inlineStr">
        <is>
          <t>GNESTA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38812-2019</t>
        </is>
      </c>
      <c r="B65" s="1" t="n">
        <v>43689</v>
      </c>
      <c r="C65" s="1" t="n">
        <v>45509</v>
      </c>
      <c r="D65" t="inlineStr">
        <is>
          <t>SÖDERMANLANDS LÄN</t>
        </is>
      </c>
      <c r="E65" t="inlineStr">
        <is>
          <t>GNESTA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38977-2019</t>
        </is>
      </c>
      <c r="B66" s="1" t="n">
        <v>43689</v>
      </c>
      <c r="C66" s="1" t="n">
        <v>45509</v>
      </c>
      <c r="D66" t="inlineStr">
        <is>
          <t>SÖDERMANLANDS LÄN</t>
        </is>
      </c>
      <c r="E66" t="inlineStr">
        <is>
          <t>GNESTA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39982-2019</t>
        </is>
      </c>
      <c r="B67" s="1" t="n">
        <v>43692</v>
      </c>
      <c r="C67" s="1" t="n">
        <v>45509</v>
      </c>
      <c r="D67" t="inlineStr">
        <is>
          <t>SÖDERMANLANDS LÄN</t>
        </is>
      </c>
      <c r="E67" t="inlineStr">
        <is>
          <t>GNESTA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40781-2019</t>
        </is>
      </c>
      <c r="B68" s="1" t="n">
        <v>43697</v>
      </c>
      <c r="C68" s="1" t="n">
        <v>45509</v>
      </c>
      <c r="D68" t="inlineStr">
        <is>
          <t>SÖDERMANLANDS LÄN</t>
        </is>
      </c>
      <c r="E68" t="inlineStr">
        <is>
          <t>GNESTA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42946-2019</t>
        </is>
      </c>
      <c r="B69" s="1" t="n">
        <v>43705</v>
      </c>
      <c r="C69" s="1" t="n">
        <v>45509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44504-2019</t>
        </is>
      </c>
      <c r="B70" s="1" t="n">
        <v>43711</v>
      </c>
      <c r="C70" s="1" t="n">
        <v>45509</v>
      </c>
      <c r="D70" t="inlineStr">
        <is>
          <t>SÖDERMANLANDS LÄN</t>
        </is>
      </c>
      <c r="E70" t="inlineStr">
        <is>
          <t>GNESTA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46634-2019</t>
        </is>
      </c>
      <c r="B71" s="1" t="n">
        <v>43717</v>
      </c>
      <c r="C71" s="1" t="n">
        <v>45509</v>
      </c>
      <c r="D71" t="inlineStr">
        <is>
          <t>SÖDERMANLANDS LÄN</t>
        </is>
      </c>
      <c r="E71" t="inlineStr">
        <is>
          <t>GNESTA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47115-2019</t>
        </is>
      </c>
      <c r="B72" s="1" t="n">
        <v>43720</v>
      </c>
      <c r="C72" s="1" t="n">
        <v>45509</v>
      </c>
      <c r="D72" t="inlineStr">
        <is>
          <t>SÖDERMANLANDS LÄN</t>
        </is>
      </c>
      <c r="E72" t="inlineStr">
        <is>
          <t>GNESTA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47113-2019</t>
        </is>
      </c>
      <c r="B73" s="1" t="n">
        <v>43720</v>
      </c>
      <c r="C73" s="1" t="n">
        <v>45509</v>
      </c>
      <c r="D73" t="inlineStr">
        <is>
          <t>SÖDERMANLANDS LÄN</t>
        </is>
      </c>
      <c r="E73" t="inlineStr">
        <is>
          <t>GNESTA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47196-2019</t>
        </is>
      </c>
      <c r="B74" s="1" t="n">
        <v>43721</v>
      </c>
      <c r="C74" s="1" t="n">
        <v>45509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47682-2019</t>
        </is>
      </c>
      <c r="B75" s="1" t="n">
        <v>43724</v>
      </c>
      <c r="C75" s="1" t="n">
        <v>45509</v>
      </c>
      <c r="D75" t="inlineStr">
        <is>
          <t>SÖDERMANLANDS LÄN</t>
        </is>
      </c>
      <c r="E75" t="inlineStr">
        <is>
          <t>GNESTA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47770-2019</t>
        </is>
      </c>
      <c r="B76" s="1" t="n">
        <v>43724</v>
      </c>
      <c r="C76" s="1" t="n">
        <v>45509</v>
      </c>
      <c r="D76" t="inlineStr">
        <is>
          <t>SÖDERMANLANDS LÄN</t>
        </is>
      </c>
      <c r="E76" t="inlineStr">
        <is>
          <t>GNESTA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48829-2019</t>
        </is>
      </c>
      <c r="B77" s="1" t="n">
        <v>43728</v>
      </c>
      <c r="C77" s="1" t="n">
        <v>45509</v>
      </c>
      <c r="D77" t="inlineStr">
        <is>
          <t>SÖDERMANLANDS LÄN</t>
        </is>
      </c>
      <c r="E77" t="inlineStr">
        <is>
          <t>GNESTA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48827-2019</t>
        </is>
      </c>
      <c r="B78" s="1" t="n">
        <v>43728</v>
      </c>
      <c r="C78" s="1" t="n">
        <v>45509</v>
      </c>
      <c r="D78" t="inlineStr">
        <is>
          <t>SÖDERMANLANDS LÄN</t>
        </is>
      </c>
      <c r="E78" t="inlineStr">
        <is>
          <t>GNESTA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50018-2019</t>
        </is>
      </c>
      <c r="B79" s="1" t="n">
        <v>43734</v>
      </c>
      <c r="C79" s="1" t="n">
        <v>45509</v>
      </c>
      <c r="D79" t="inlineStr">
        <is>
          <t>SÖDERMANLANDS LÄN</t>
        </is>
      </c>
      <c r="E79" t="inlineStr">
        <is>
          <t>GNESTA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53933-2019</t>
        </is>
      </c>
      <c r="B80" s="1" t="n">
        <v>43752</v>
      </c>
      <c r="C80" s="1" t="n">
        <v>45509</v>
      </c>
      <c r="D80" t="inlineStr">
        <is>
          <t>SÖDERMANLANDS LÄN</t>
        </is>
      </c>
      <c r="E80" t="inlineStr">
        <is>
          <t>GNESTA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53945-2019</t>
        </is>
      </c>
      <c r="B81" s="1" t="n">
        <v>43752</v>
      </c>
      <c r="C81" s="1" t="n">
        <v>45509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57725-2019</t>
        </is>
      </c>
      <c r="B82" s="1" t="n">
        <v>43768</v>
      </c>
      <c r="C82" s="1" t="n">
        <v>45509</v>
      </c>
      <c r="D82" t="inlineStr">
        <is>
          <t>SÖDERMANLANDS LÄN</t>
        </is>
      </c>
      <c r="E82" t="inlineStr">
        <is>
          <t>GNESTA</t>
        </is>
      </c>
      <c r="G82" t="n">
        <v>18.4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59224-2019</t>
        </is>
      </c>
      <c r="B83" s="1" t="n">
        <v>43775</v>
      </c>
      <c r="C83" s="1" t="n">
        <v>45509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62954-2019</t>
        </is>
      </c>
      <c r="B84" s="1" t="n">
        <v>43784</v>
      </c>
      <c r="C84" s="1" t="n">
        <v>45509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62962-2019</t>
        </is>
      </c>
      <c r="B85" s="1" t="n">
        <v>43790</v>
      </c>
      <c r="C85" s="1" t="n">
        <v>45509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65575-2019</t>
        </is>
      </c>
      <c r="B86" s="1" t="n">
        <v>43803</v>
      </c>
      <c r="C86" s="1" t="n">
        <v>45509</v>
      </c>
      <c r="D86" t="inlineStr">
        <is>
          <t>SÖDERMANLANDS LÄN</t>
        </is>
      </c>
      <c r="E86" t="inlineStr">
        <is>
          <t>GNESTA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1283-2020</t>
        </is>
      </c>
      <c r="B87" s="1" t="n">
        <v>43842</v>
      </c>
      <c r="C87" s="1" t="n">
        <v>45509</v>
      </c>
      <c r="D87" t="inlineStr">
        <is>
          <t>SÖDERMANLANDS LÄN</t>
        </is>
      </c>
      <c r="E87" t="inlineStr">
        <is>
          <t>GNESTA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7131-2020</t>
        </is>
      </c>
      <c r="B88" s="1" t="n">
        <v>43868</v>
      </c>
      <c r="C88" s="1" t="n">
        <v>45509</v>
      </c>
      <c r="D88" t="inlineStr">
        <is>
          <t>SÖDERMANLANDS LÄN</t>
        </is>
      </c>
      <c r="E88" t="inlineStr">
        <is>
          <t>GNESTA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9224-2020</t>
        </is>
      </c>
      <c r="B89" s="1" t="n">
        <v>43879</v>
      </c>
      <c r="C89" s="1" t="n">
        <v>45509</v>
      </c>
      <c r="D89" t="inlineStr">
        <is>
          <t>SÖDERMANLANDS LÄN</t>
        </is>
      </c>
      <c r="E89" t="inlineStr">
        <is>
          <t>GNESTA</t>
        </is>
      </c>
      <c r="F89" t="inlineStr">
        <is>
          <t>Övriga Aktiebolag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12517-2020</t>
        </is>
      </c>
      <c r="B90" s="1" t="n">
        <v>43896</v>
      </c>
      <c r="C90" s="1" t="n">
        <v>45509</v>
      </c>
      <c r="D90" t="inlineStr">
        <is>
          <t>SÖDERMANLANDS LÄN</t>
        </is>
      </c>
      <c r="E90" t="inlineStr">
        <is>
          <t>GNESTA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13717-2020</t>
        </is>
      </c>
      <c r="B91" s="1" t="n">
        <v>43896</v>
      </c>
      <c r="C91" s="1" t="n">
        <v>45509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13837-2020</t>
        </is>
      </c>
      <c r="B92" s="1" t="n">
        <v>43896</v>
      </c>
      <c r="C92" s="1" t="n">
        <v>45509</v>
      </c>
      <c r="D92" t="inlineStr">
        <is>
          <t>SÖDERMANLANDS LÄN</t>
        </is>
      </c>
      <c r="E92" t="inlineStr">
        <is>
          <t>GNESTA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13834-2020</t>
        </is>
      </c>
      <c r="B93" s="1" t="n">
        <v>43896</v>
      </c>
      <c r="C93" s="1" t="n">
        <v>45509</v>
      </c>
      <c r="D93" t="inlineStr">
        <is>
          <t>SÖDERMANLANDS LÄN</t>
        </is>
      </c>
      <c r="E93" t="inlineStr">
        <is>
          <t>GNESTA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12817-2020</t>
        </is>
      </c>
      <c r="B94" s="1" t="n">
        <v>43899</v>
      </c>
      <c r="C94" s="1" t="n">
        <v>45509</v>
      </c>
      <c r="D94" t="inlineStr">
        <is>
          <t>SÖDERMANLANDS LÄN</t>
        </is>
      </c>
      <c r="E94" t="inlineStr">
        <is>
          <t>GNESTA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12861-2020</t>
        </is>
      </c>
      <c r="B95" s="1" t="n">
        <v>43899</v>
      </c>
      <c r="C95" s="1" t="n">
        <v>45509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13355-2020</t>
        </is>
      </c>
      <c r="B96" s="1" t="n">
        <v>43902</v>
      </c>
      <c r="C96" s="1" t="n">
        <v>45509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13351-2020</t>
        </is>
      </c>
      <c r="B97" s="1" t="n">
        <v>43902</v>
      </c>
      <c r="C97" s="1" t="n">
        <v>45509</v>
      </c>
      <c r="D97" t="inlineStr">
        <is>
          <t>SÖDERMANLANDS LÄN</t>
        </is>
      </c>
      <c r="E97" t="inlineStr">
        <is>
          <t>GNESTA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16499-2020</t>
        </is>
      </c>
      <c r="B98" s="1" t="n">
        <v>43910</v>
      </c>
      <c r="C98" s="1" t="n">
        <v>45509</v>
      </c>
      <c r="D98" t="inlineStr">
        <is>
          <t>SÖDERMANLANDS LÄN</t>
        </is>
      </c>
      <c r="E98" t="inlineStr">
        <is>
          <t>GNESTA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16438-2020</t>
        </is>
      </c>
      <c r="B99" s="1" t="n">
        <v>43919</v>
      </c>
      <c r="C99" s="1" t="n">
        <v>45509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18352-2020</t>
        </is>
      </c>
      <c r="B100" s="1" t="n">
        <v>43927</v>
      </c>
      <c r="C100" s="1" t="n">
        <v>45509</v>
      </c>
      <c r="D100" t="inlineStr">
        <is>
          <t>SÖDERMANLANDS LÄN</t>
        </is>
      </c>
      <c r="E100" t="inlineStr">
        <is>
          <t>GNESTA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20400-2020</t>
        </is>
      </c>
      <c r="B101" s="1" t="n">
        <v>43945</v>
      </c>
      <c r="C101" s="1" t="n">
        <v>45509</v>
      </c>
      <c r="D101" t="inlineStr">
        <is>
          <t>SÖDERMANLANDS LÄN</t>
        </is>
      </c>
      <c r="E101" t="inlineStr">
        <is>
          <t>GNESTA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24116-2020</t>
        </is>
      </c>
      <c r="B102" s="1" t="n">
        <v>43973</v>
      </c>
      <c r="C102" s="1" t="n">
        <v>45509</v>
      </c>
      <c r="D102" t="inlineStr">
        <is>
          <t>SÖDERMANLANDS LÄN</t>
        </is>
      </c>
      <c r="E102" t="inlineStr">
        <is>
          <t>GNESTA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24604-2020</t>
        </is>
      </c>
      <c r="B103" s="1" t="n">
        <v>43977</v>
      </c>
      <c r="C103" s="1" t="n">
        <v>45509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24605-2020</t>
        </is>
      </c>
      <c r="B104" s="1" t="n">
        <v>43977</v>
      </c>
      <c r="C104" s="1" t="n">
        <v>45509</v>
      </c>
      <c r="D104" t="inlineStr">
        <is>
          <t>SÖDERMANLANDS LÄN</t>
        </is>
      </c>
      <c r="E104" t="inlineStr">
        <is>
          <t>GNESTA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25945-2020</t>
        </is>
      </c>
      <c r="B105" s="1" t="n">
        <v>43985</v>
      </c>
      <c r="C105" s="1" t="n">
        <v>45509</v>
      </c>
      <c r="D105" t="inlineStr">
        <is>
          <t>SÖDERMANLANDS LÄN</t>
        </is>
      </c>
      <c r="E105" t="inlineStr">
        <is>
          <t>GNESTA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28154-2020</t>
        </is>
      </c>
      <c r="B106" s="1" t="n">
        <v>43997</v>
      </c>
      <c r="C106" s="1" t="n">
        <v>45509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29601-2020</t>
        </is>
      </c>
      <c r="B107" s="1" t="n">
        <v>44005</v>
      </c>
      <c r="C107" s="1" t="n">
        <v>45509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29847-2020</t>
        </is>
      </c>
      <c r="B108" s="1" t="n">
        <v>44006</v>
      </c>
      <c r="C108" s="1" t="n">
        <v>45509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34536-2020</t>
        </is>
      </c>
      <c r="B109" s="1" t="n">
        <v>44032</v>
      </c>
      <c r="C109" s="1" t="n">
        <v>45509</v>
      </c>
      <c r="D109" t="inlineStr">
        <is>
          <t>SÖDERMANLANDS LÄN</t>
        </is>
      </c>
      <c r="E109" t="inlineStr">
        <is>
          <t>GNESTA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34676-2020</t>
        </is>
      </c>
      <c r="B110" s="1" t="n">
        <v>44035</v>
      </c>
      <c r="C110" s="1" t="n">
        <v>45509</v>
      </c>
      <c r="D110" t="inlineStr">
        <is>
          <t>SÖDERMANLANDS LÄN</t>
        </is>
      </c>
      <c r="E110" t="inlineStr">
        <is>
          <t>GNESTA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38244-2020</t>
        </is>
      </c>
      <c r="B111" s="1" t="n">
        <v>44060</v>
      </c>
      <c r="C111" s="1" t="n">
        <v>45509</v>
      </c>
      <c r="D111" t="inlineStr">
        <is>
          <t>SÖDERMANLANDS LÄN</t>
        </is>
      </c>
      <c r="E111" t="inlineStr">
        <is>
          <t>GNESTA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38778-2020</t>
        </is>
      </c>
      <c r="B112" s="1" t="n">
        <v>44061</v>
      </c>
      <c r="C112" s="1" t="n">
        <v>45509</v>
      </c>
      <c r="D112" t="inlineStr">
        <is>
          <t>SÖDERMANLANDS LÄN</t>
        </is>
      </c>
      <c r="E112" t="inlineStr">
        <is>
          <t>GNESTA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40352-2020</t>
        </is>
      </c>
      <c r="B113" s="1" t="n">
        <v>44068</v>
      </c>
      <c r="C113" s="1" t="n">
        <v>45509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44528-2020</t>
        </is>
      </c>
      <c r="B114" s="1" t="n">
        <v>44084</v>
      </c>
      <c r="C114" s="1" t="n">
        <v>45509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44808-2020</t>
        </is>
      </c>
      <c r="B115" s="1" t="n">
        <v>44085</v>
      </c>
      <c r="C115" s="1" t="n">
        <v>45509</v>
      </c>
      <c r="D115" t="inlineStr">
        <is>
          <t>SÖDERMANLANDS LÄN</t>
        </is>
      </c>
      <c r="E115" t="inlineStr">
        <is>
          <t>GNESTA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44803-2020</t>
        </is>
      </c>
      <c r="B116" s="1" t="n">
        <v>44085</v>
      </c>
      <c r="C116" s="1" t="n">
        <v>45509</v>
      </c>
      <c r="D116" t="inlineStr">
        <is>
          <t>SÖDERMANLANDS LÄN</t>
        </is>
      </c>
      <c r="E116" t="inlineStr">
        <is>
          <t>GNESTA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47188-2020</t>
        </is>
      </c>
      <c r="B117" s="1" t="n">
        <v>44091</v>
      </c>
      <c r="C117" s="1" t="n">
        <v>45509</v>
      </c>
      <c r="D117" t="inlineStr">
        <is>
          <t>SÖDERMANLANDS LÄN</t>
        </is>
      </c>
      <c r="E117" t="inlineStr">
        <is>
          <t>GNESTA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46471-2020</t>
        </is>
      </c>
      <c r="B118" s="1" t="n">
        <v>44092</v>
      </c>
      <c r="C118" s="1" t="n">
        <v>45509</v>
      </c>
      <c r="D118" t="inlineStr">
        <is>
          <t>SÖDERMANLANDS LÄN</t>
        </is>
      </c>
      <c r="E118" t="inlineStr">
        <is>
          <t>GNESTA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46839-2020</t>
        </is>
      </c>
      <c r="B119" s="1" t="n">
        <v>44095</v>
      </c>
      <c r="C119" s="1" t="n">
        <v>45509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47085-2020</t>
        </is>
      </c>
      <c r="B120" s="1" t="n">
        <v>44096</v>
      </c>
      <c r="C120" s="1" t="n">
        <v>45509</v>
      </c>
      <c r="D120" t="inlineStr">
        <is>
          <t>SÖDERMANLANDS LÄN</t>
        </is>
      </c>
      <c r="E120" t="inlineStr">
        <is>
          <t>GNESTA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47095-2020</t>
        </is>
      </c>
      <c r="B121" s="1" t="n">
        <v>44096</v>
      </c>
      <c r="C121" s="1" t="n">
        <v>45509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48323-2020</t>
        </is>
      </c>
      <c r="B122" s="1" t="n">
        <v>44097</v>
      </c>
      <c r="C122" s="1" t="n">
        <v>45509</v>
      </c>
      <c r="D122" t="inlineStr">
        <is>
          <t>SÖDERMANLANDS LÄN</t>
        </is>
      </c>
      <c r="E122" t="inlineStr">
        <is>
          <t>GNESTA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48642-2020</t>
        </is>
      </c>
      <c r="B123" s="1" t="n">
        <v>44103</v>
      </c>
      <c r="C123" s="1" t="n">
        <v>45509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49258-2020</t>
        </is>
      </c>
      <c r="B124" s="1" t="n">
        <v>44105</v>
      </c>
      <c r="C124" s="1" t="n">
        <v>45509</v>
      </c>
      <c r="D124" t="inlineStr">
        <is>
          <t>SÖDERMANLANDS LÄN</t>
        </is>
      </c>
      <c r="E124" t="inlineStr">
        <is>
          <t>GNESTA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51658-2020</t>
        </is>
      </c>
      <c r="B125" s="1" t="n">
        <v>44109</v>
      </c>
      <c r="C125" s="1" t="n">
        <v>45509</v>
      </c>
      <c r="D125" t="inlineStr">
        <is>
          <t>SÖDERMANLANDS LÄN</t>
        </is>
      </c>
      <c r="E125" t="inlineStr">
        <is>
          <t>GNESTA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49933-2020</t>
        </is>
      </c>
      <c r="B126" s="1" t="n">
        <v>44109</v>
      </c>
      <c r="C126" s="1" t="n">
        <v>45509</v>
      </c>
      <c r="D126" t="inlineStr">
        <is>
          <t>SÖDERMANLANDS LÄN</t>
        </is>
      </c>
      <c r="E126" t="inlineStr">
        <is>
          <t>GNESTA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52834-2020</t>
        </is>
      </c>
      <c r="B127" s="1" t="n">
        <v>44119</v>
      </c>
      <c r="C127" s="1" t="n">
        <v>45509</v>
      </c>
      <c r="D127" t="inlineStr">
        <is>
          <t>SÖDERMANLANDS LÄN</t>
        </is>
      </c>
      <c r="E127" t="inlineStr">
        <is>
          <t>GNESTA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52840-2020</t>
        </is>
      </c>
      <c r="B128" s="1" t="n">
        <v>44119</v>
      </c>
      <c r="C128" s="1" t="n">
        <v>45509</v>
      </c>
      <c r="D128" t="inlineStr">
        <is>
          <t>SÖDERMANLANDS LÄN</t>
        </is>
      </c>
      <c r="E128" t="inlineStr">
        <is>
          <t>GNESTA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56390-2020</t>
        </is>
      </c>
      <c r="B129" s="1" t="n">
        <v>44136</v>
      </c>
      <c r="C129" s="1" t="n">
        <v>45509</v>
      </c>
      <c r="D129" t="inlineStr">
        <is>
          <t>SÖDERMANLANDS LÄN</t>
        </is>
      </c>
      <c r="E129" t="inlineStr">
        <is>
          <t>GNESTA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57118-2020</t>
        </is>
      </c>
      <c r="B130" s="1" t="n">
        <v>44139</v>
      </c>
      <c r="C130" s="1" t="n">
        <v>45509</v>
      </c>
      <c r="D130" t="inlineStr">
        <is>
          <t>SÖDERMANLANDS LÄN</t>
        </is>
      </c>
      <c r="E130" t="inlineStr">
        <is>
          <t>GNESTA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59117-2020</t>
        </is>
      </c>
      <c r="B131" s="1" t="n">
        <v>44147</v>
      </c>
      <c r="C131" s="1" t="n">
        <v>45509</v>
      </c>
      <c r="D131" t="inlineStr">
        <is>
          <t>SÖDERMANLANDS LÄN</t>
        </is>
      </c>
      <c r="E131" t="inlineStr">
        <is>
          <t>GNESTA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62142-2020</t>
        </is>
      </c>
      <c r="B132" s="1" t="n">
        <v>44159</v>
      </c>
      <c r="C132" s="1" t="n">
        <v>45509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62372-2020</t>
        </is>
      </c>
      <c r="B133" s="1" t="n">
        <v>44160</v>
      </c>
      <c r="C133" s="1" t="n">
        <v>45509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66353-2020</t>
        </is>
      </c>
      <c r="B134" s="1" t="n">
        <v>44176</v>
      </c>
      <c r="C134" s="1" t="n">
        <v>45509</v>
      </c>
      <c r="D134" t="inlineStr">
        <is>
          <t>SÖDERMANLANDS LÄN</t>
        </is>
      </c>
      <c r="E134" t="inlineStr">
        <is>
          <t>GNESTA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67856-2020</t>
        </is>
      </c>
      <c r="B135" s="1" t="n">
        <v>44182</v>
      </c>
      <c r="C135" s="1" t="n">
        <v>45509</v>
      </c>
      <c r="D135" t="inlineStr">
        <is>
          <t>SÖDERMANLANDS LÄN</t>
        </is>
      </c>
      <c r="E135" t="inlineStr">
        <is>
          <t>GNESTA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68698-2020</t>
        </is>
      </c>
      <c r="B136" s="1" t="n">
        <v>44187</v>
      </c>
      <c r="C136" s="1" t="n">
        <v>45509</v>
      </c>
      <c r="D136" t="inlineStr">
        <is>
          <t>SÖDERMANLANDS LÄN</t>
        </is>
      </c>
      <c r="E136" t="inlineStr">
        <is>
          <t>GNESTA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162-2021</t>
        </is>
      </c>
      <c r="B137" s="1" t="n">
        <v>44200</v>
      </c>
      <c r="C137" s="1" t="n">
        <v>45509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1038-2021</t>
        </is>
      </c>
      <c r="B138" s="1" t="n">
        <v>44207</v>
      </c>
      <c r="C138" s="1" t="n">
        <v>45509</v>
      </c>
      <c r="D138" t="inlineStr">
        <is>
          <t>SÖDERMANLANDS LÄN</t>
        </is>
      </c>
      <c r="E138" t="inlineStr">
        <is>
          <t>GNESTA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4447-2021</t>
        </is>
      </c>
      <c r="B139" s="1" t="n">
        <v>44224</v>
      </c>
      <c r="C139" s="1" t="n">
        <v>45509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6415-2021</t>
        </is>
      </c>
      <c r="B140" s="1" t="n">
        <v>44235</v>
      </c>
      <c r="C140" s="1" t="n">
        <v>45509</v>
      </c>
      <c r="D140" t="inlineStr">
        <is>
          <t>SÖDERMANLANDS LÄN</t>
        </is>
      </c>
      <c r="E140" t="inlineStr">
        <is>
          <t>GNESTA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7386-2021</t>
        </is>
      </c>
      <c r="B141" s="1" t="n">
        <v>44239</v>
      </c>
      <c r="C141" s="1" t="n">
        <v>45509</v>
      </c>
      <c r="D141" t="inlineStr">
        <is>
          <t>SÖDERMANLANDS LÄN</t>
        </is>
      </c>
      <c r="E141" t="inlineStr">
        <is>
          <t>GNESTA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7385-2021</t>
        </is>
      </c>
      <c r="B142" s="1" t="n">
        <v>44239</v>
      </c>
      <c r="C142" s="1" t="n">
        <v>45509</v>
      </c>
      <c r="D142" t="inlineStr">
        <is>
          <t>SÖDERMANLANDS LÄN</t>
        </is>
      </c>
      <c r="E142" t="inlineStr">
        <is>
          <t>GNESTA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8443-2021</t>
        </is>
      </c>
      <c r="B143" s="1" t="n">
        <v>44245</v>
      </c>
      <c r="C143" s="1" t="n">
        <v>45509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8457-2021</t>
        </is>
      </c>
      <c r="B144" s="1" t="n">
        <v>44245</v>
      </c>
      <c r="C144" s="1" t="n">
        <v>45509</v>
      </c>
      <c r="D144" t="inlineStr">
        <is>
          <t>SÖDERMANLANDS LÄN</t>
        </is>
      </c>
      <c r="E144" t="inlineStr">
        <is>
          <t>GNESTA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8992-2021</t>
        </is>
      </c>
      <c r="B145" s="1" t="n">
        <v>44246</v>
      </c>
      <c r="C145" s="1" t="n">
        <v>45509</v>
      </c>
      <c r="D145" t="inlineStr">
        <is>
          <t>SÖDERMANLANDS LÄN</t>
        </is>
      </c>
      <c r="E145" t="inlineStr">
        <is>
          <t>GNESTA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9038-2021</t>
        </is>
      </c>
      <c r="B146" s="1" t="n">
        <v>44246</v>
      </c>
      <c r="C146" s="1" t="n">
        <v>45509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9047-2021</t>
        </is>
      </c>
      <c r="B147" s="1" t="n">
        <v>44246</v>
      </c>
      <c r="C147" s="1" t="n">
        <v>45509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9575-2021</t>
        </is>
      </c>
      <c r="B148" s="1" t="n">
        <v>44251</v>
      </c>
      <c r="C148" s="1" t="n">
        <v>45509</v>
      </c>
      <c r="D148" t="inlineStr">
        <is>
          <t>SÖDERMANLANDS LÄN</t>
        </is>
      </c>
      <c r="E148" t="inlineStr">
        <is>
          <t>GNESTA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11152-2021</t>
        </is>
      </c>
      <c r="B149" s="1" t="n">
        <v>44261</v>
      </c>
      <c r="C149" s="1" t="n">
        <v>45509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11703-2021</t>
        </is>
      </c>
      <c r="B150" s="1" t="n">
        <v>44264</v>
      </c>
      <c r="C150" s="1" t="n">
        <v>45509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11760-2021</t>
        </is>
      </c>
      <c r="B151" s="1" t="n">
        <v>44265</v>
      </c>
      <c r="C151" s="1" t="n">
        <v>45509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11878-2021</t>
        </is>
      </c>
      <c r="B152" s="1" t="n">
        <v>44265</v>
      </c>
      <c r="C152" s="1" t="n">
        <v>45509</v>
      </c>
      <c r="D152" t="inlineStr">
        <is>
          <t>SÖDERMANLANDS LÄN</t>
        </is>
      </c>
      <c r="E152" t="inlineStr">
        <is>
          <t>GNESTA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14616-2021</t>
        </is>
      </c>
      <c r="B153" s="1" t="n">
        <v>44280</v>
      </c>
      <c r="C153" s="1" t="n">
        <v>45509</v>
      </c>
      <c r="D153" t="inlineStr">
        <is>
          <t>SÖDERMANLANDS LÄN</t>
        </is>
      </c>
      <c r="E153" t="inlineStr">
        <is>
          <t>GNESTA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14614-2021</t>
        </is>
      </c>
      <c r="B154" s="1" t="n">
        <v>44280</v>
      </c>
      <c r="C154" s="1" t="n">
        <v>45509</v>
      </c>
      <c r="D154" t="inlineStr">
        <is>
          <t>SÖDERMANLANDS LÄN</t>
        </is>
      </c>
      <c r="E154" t="inlineStr">
        <is>
          <t>GNESTA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15531-2021</t>
        </is>
      </c>
      <c r="B155" s="1" t="n">
        <v>44285</v>
      </c>
      <c r="C155" s="1" t="n">
        <v>45509</v>
      </c>
      <c r="D155" t="inlineStr">
        <is>
          <t>SÖDERMANLANDS LÄN</t>
        </is>
      </c>
      <c r="E155" t="inlineStr">
        <is>
          <t>GNESTA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15603-2021</t>
        </is>
      </c>
      <c r="B156" s="1" t="n">
        <v>44285</v>
      </c>
      <c r="C156" s="1" t="n">
        <v>45509</v>
      </c>
      <c r="D156" t="inlineStr">
        <is>
          <t>SÖDERMANLANDS LÄN</t>
        </is>
      </c>
      <c r="E156" t="inlineStr">
        <is>
          <t>GNESTA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16257-2021</t>
        </is>
      </c>
      <c r="B157" s="1" t="n">
        <v>44287</v>
      </c>
      <c r="C157" s="1" t="n">
        <v>45509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16221-2021</t>
        </is>
      </c>
      <c r="B158" s="1" t="n">
        <v>44287</v>
      </c>
      <c r="C158" s="1" t="n">
        <v>45509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16287-2021</t>
        </is>
      </c>
      <c r="B159" s="1" t="n">
        <v>44292</v>
      </c>
      <c r="C159" s="1" t="n">
        <v>45509</v>
      </c>
      <c r="D159" t="inlineStr">
        <is>
          <t>SÖDERMANLANDS LÄN</t>
        </is>
      </c>
      <c r="E159" t="inlineStr">
        <is>
          <t>GNESTA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18695-2021</t>
        </is>
      </c>
      <c r="B160" s="1" t="n">
        <v>44307</v>
      </c>
      <c r="C160" s="1" t="n">
        <v>45509</v>
      </c>
      <c r="D160" t="inlineStr">
        <is>
          <t>SÖDERMANLANDS LÄN</t>
        </is>
      </c>
      <c r="E160" t="inlineStr">
        <is>
          <t>GNESTA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19613-2021</t>
        </is>
      </c>
      <c r="B161" s="1" t="n">
        <v>44312</v>
      </c>
      <c r="C161" s="1" t="n">
        <v>45509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19681-2021</t>
        </is>
      </c>
      <c r="B162" s="1" t="n">
        <v>44312</v>
      </c>
      <c r="C162" s="1" t="n">
        <v>45509</v>
      </c>
      <c r="D162" t="inlineStr">
        <is>
          <t>SÖDERMANLANDS LÄN</t>
        </is>
      </c>
      <c r="E162" t="inlineStr">
        <is>
          <t>GNESTA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21835-2021</t>
        </is>
      </c>
      <c r="B163" s="1" t="n">
        <v>44322</v>
      </c>
      <c r="C163" s="1" t="n">
        <v>45509</v>
      </c>
      <c r="D163" t="inlineStr">
        <is>
          <t>SÖDERMANLANDS LÄN</t>
        </is>
      </c>
      <c r="E163" t="inlineStr">
        <is>
          <t>GNESTA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21762-2021</t>
        </is>
      </c>
      <c r="B164" s="1" t="n">
        <v>44322</v>
      </c>
      <c r="C164" s="1" t="n">
        <v>45509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21764-2021</t>
        </is>
      </c>
      <c r="B165" s="1" t="n">
        <v>44322</v>
      </c>
      <c r="C165" s="1" t="n">
        <v>45509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22046-2021</t>
        </is>
      </c>
      <c r="B166" s="1" t="n">
        <v>44322</v>
      </c>
      <c r="C166" s="1" t="n">
        <v>45509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22044-2021</t>
        </is>
      </c>
      <c r="B167" s="1" t="n">
        <v>44322</v>
      </c>
      <c r="C167" s="1" t="n">
        <v>45509</v>
      </c>
      <c r="D167" t="inlineStr">
        <is>
          <t>SÖDERMANLANDS LÄN</t>
        </is>
      </c>
      <c r="E167" t="inlineStr">
        <is>
          <t>GNESTA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22712-2021</t>
        </is>
      </c>
      <c r="B168" s="1" t="n">
        <v>44327</v>
      </c>
      <c r="C168" s="1" t="n">
        <v>45509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22906-2021</t>
        </is>
      </c>
      <c r="B169" s="1" t="n">
        <v>44328</v>
      </c>
      <c r="C169" s="1" t="n">
        <v>45509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23600-2021</t>
        </is>
      </c>
      <c r="B170" s="1" t="n">
        <v>44334</v>
      </c>
      <c r="C170" s="1" t="n">
        <v>45509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25179-2021</t>
        </is>
      </c>
      <c r="B171" s="1" t="n">
        <v>44342</v>
      </c>
      <c r="C171" s="1" t="n">
        <v>45509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26307-2021</t>
        </is>
      </c>
      <c r="B172" s="1" t="n">
        <v>44347</v>
      </c>
      <c r="C172" s="1" t="n">
        <v>45509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27206-2021</t>
        </is>
      </c>
      <c r="B173" s="1" t="n">
        <v>44350</v>
      </c>
      <c r="C173" s="1" t="n">
        <v>45509</v>
      </c>
      <c r="D173" t="inlineStr">
        <is>
          <t>SÖDERMANLANDS LÄN</t>
        </is>
      </c>
      <c r="E173" t="inlineStr">
        <is>
          <t>GNESTA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45509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45509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39018-2021</t>
        </is>
      </c>
      <c r="B176" s="1" t="n">
        <v>44412</v>
      </c>
      <c r="C176" s="1" t="n">
        <v>45509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39456-2021</t>
        </is>
      </c>
      <c r="B177" s="1" t="n">
        <v>44414</v>
      </c>
      <c r="C177" s="1" t="n">
        <v>45509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39461-2021</t>
        </is>
      </c>
      <c r="B178" s="1" t="n">
        <v>44414</v>
      </c>
      <c r="C178" s="1" t="n">
        <v>45509</v>
      </c>
      <c r="D178" t="inlineStr">
        <is>
          <t>SÖDERMANLANDS LÄN</t>
        </is>
      </c>
      <c r="E178" t="inlineStr">
        <is>
          <t>GNESTA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40395-2021</t>
        </is>
      </c>
      <c r="B179" s="1" t="n">
        <v>44419</v>
      </c>
      <c r="C179" s="1" t="n">
        <v>45509</v>
      </c>
      <c r="D179" t="inlineStr">
        <is>
          <t>SÖDERMANLANDS LÄN</t>
        </is>
      </c>
      <c r="E179" t="inlineStr">
        <is>
          <t>GNESTA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41104-2021</t>
        </is>
      </c>
      <c r="B180" s="1" t="n">
        <v>44423</v>
      </c>
      <c r="C180" s="1" t="n">
        <v>45509</v>
      </c>
      <c r="D180" t="inlineStr">
        <is>
          <t>SÖDERMANLANDS LÄN</t>
        </is>
      </c>
      <c r="E180" t="inlineStr">
        <is>
          <t>GNESTA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41103-2021</t>
        </is>
      </c>
      <c r="B181" s="1" t="n">
        <v>44423</v>
      </c>
      <c r="C181" s="1" t="n">
        <v>45509</v>
      </c>
      <c r="D181" t="inlineStr">
        <is>
          <t>SÖDERMANLANDS LÄN</t>
        </is>
      </c>
      <c r="E181" t="inlineStr">
        <is>
          <t>GNESTA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41600-2021</t>
        </is>
      </c>
      <c r="B182" s="1" t="n">
        <v>44425</v>
      </c>
      <c r="C182" s="1" t="n">
        <v>45509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45509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41745-2021</t>
        </is>
      </c>
      <c r="B184" s="1" t="n">
        <v>44425</v>
      </c>
      <c r="C184" s="1" t="n">
        <v>45509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41968-2021</t>
        </is>
      </c>
      <c r="B185" s="1" t="n">
        <v>44425</v>
      </c>
      <c r="C185" s="1" t="n">
        <v>45509</v>
      </c>
      <c r="D185" t="inlineStr">
        <is>
          <t>SÖDERMANLANDS LÄN</t>
        </is>
      </c>
      <c r="E185" t="inlineStr">
        <is>
          <t>GNESTA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41955-2021</t>
        </is>
      </c>
      <c r="B186" s="1" t="n">
        <v>44426</v>
      </c>
      <c r="C186" s="1" t="n">
        <v>45509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41914-2021</t>
        </is>
      </c>
      <c r="B187" s="1" t="n">
        <v>44426</v>
      </c>
      <c r="C187" s="1" t="n">
        <v>45509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42428-2021</t>
        </is>
      </c>
      <c r="B188" s="1" t="n">
        <v>44427</v>
      </c>
      <c r="C188" s="1" t="n">
        <v>45509</v>
      </c>
      <c r="D188" t="inlineStr">
        <is>
          <t>SÖDERMANLANDS LÄN</t>
        </is>
      </c>
      <c r="E188" t="inlineStr">
        <is>
          <t>GNESTA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43035-2021</t>
        </is>
      </c>
      <c r="B189" s="1" t="n">
        <v>44431</v>
      </c>
      <c r="C189" s="1" t="n">
        <v>45509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43178-2021</t>
        </is>
      </c>
      <c r="B190" s="1" t="n">
        <v>44431</v>
      </c>
      <c r="C190" s="1" t="n">
        <v>45509</v>
      </c>
      <c r="D190" t="inlineStr">
        <is>
          <t>SÖDERMANLANDS LÄN</t>
        </is>
      </c>
      <c r="E190" t="inlineStr">
        <is>
          <t>GNESTA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44943-2021</t>
        </is>
      </c>
      <c r="B191" s="1" t="n">
        <v>44438</v>
      </c>
      <c r="C191" s="1" t="n">
        <v>45509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46079-2021</t>
        </is>
      </c>
      <c r="B192" s="1" t="n">
        <v>44442</v>
      </c>
      <c r="C192" s="1" t="n">
        <v>45509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46085-2021</t>
        </is>
      </c>
      <c r="B193" s="1" t="n">
        <v>44442</v>
      </c>
      <c r="C193" s="1" t="n">
        <v>45509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47314-2021</t>
        </is>
      </c>
      <c r="B194" s="1" t="n">
        <v>44447</v>
      </c>
      <c r="C194" s="1" t="n">
        <v>45509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48437-2021</t>
        </is>
      </c>
      <c r="B195" s="1" t="n">
        <v>44452</v>
      </c>
      <c r="C195" s="1" t="n">
        <v>45509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48738-2021</t>
        </is>
      </c>
      <c r="B196" s="1" t="n">
        <v>44452</v>
      </c>
      <c r="C196" s="1" t="n">
        <v>45509</v>
      </c>
      <c r="D196" t="inlineStr">
        <is>
          <t>SÖDERMANLANDS LÄN</t>
        </is>
      </c>
      <c r="E196" t="inlineStr">
        <is>
          <t>GNESTA</t>
        </is>
      </c>
      <c r="F196" t="inlineStr">
        <is>
          <t>Kyrkan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49885-2021</t>
        </is>
      </c>
      <c r="B197" s="1" t="n">
        <v>44455</v>
      </c>
      <c r="C197" s="1" t="n">
        <v>45509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51339-2021</t>
        </is>
      </c>
      <c r="B198" s="1" t="n">
        <v>44461</v>
      </c>
      <c r="C198" s="1" t="n">
        <v>45509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53049-2021</t>
        </is>
      </c>
      <c r="B199" s="1" t="n">
        <v>44467</v>
      </c>
      <c r="C199" s="1" t="n">
        <v>45509</v>
      </c>
      <c r="D199" t="inlineStr">
        <is>
          <t>SÖDERMANLANDS LÄN</t>
        </is>
      </c>
      <c r="E199" t="inlineStr">
        <is>
          <t>GNESTA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53492-2021</t>
        </is>
      </c>
      <c r="B200" s="1" t="n">
        <v>44468</v>
      </c>
      <c r="C200" s="1" t="n">
        <v>45509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54702-2021</t>
        </is>
      </c>
      <c r="B201" s="1" t="n">
        <v>44473</v>
      </c>
      <c r="C201" s="1" t="n">
        <v>45509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55632-2021</t>
        </is>
      </c>
      <c r="B202" s="1" t="n">
        <v>44475</v>
      </c>
      <c r="C202" s="1" t="n">
        <v>45509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56505-2021</t>
        </is>
      </c>
      <c r="B203" s="1" t="n">
        <v>44480</v>
      </c>
      <c r="C203" s="1" t="n">
        <v>45509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56824-2021</t>
        </is>
      </c>
      <c r="B204" s="1" t="n">
        <v>44481</v>
      </c>
      <c r="C204" s="1" t="n">
        <v>45509</v>
      </c>
      <c r="D204" t="inlineStr">
        <is>
          <t>SÖDERMANLANDS LÄN</t>
        </is>
      </c>
      <c r="E204" t="inlineStr">
        <is>
          <t>GNESTA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56815-2021</t>
        </is>
      </c>
      <c r="B205" s="1" t="n">
        <v>44481</v>
      </c>
      <c r="C205" s="1" t="n">
        <v>45509</v>
      </c>
      <c r="D205" t="inlineStr">
        <is>
          <t>SÖDERMANLANDS LÄN</t>
        </is>
      </c>
      <c r="E205" t="inlineStr">
        <is>
          <t>GNESTA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56927-2021</t>
        </is>
      </c>
      <c r="B206" s="1" t="n">
        <v>44481</v>
      </c>
      <c r="C206" s="1" t="n">
        <v>45509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56976-2021</t>
        </is>
      </c>
      <c r="B207" s="1" t="n">
        <v>44481</v>
      </c>
      <c r="C207" s="1" t="n">
        <v>45509</v>
      </c>
      <c r="D207" t="inlineStr">
        <is>
          <t>SÖDERMANLANDS LÄN</t>
        </is>
      </c>
      <c r="E207" t="inlineStr">
        <is>
          <t>GNESTA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57139-2021</t>
        </is>
      </c>
      <c r="B208" s="1" t="n">
        <v>44482</v>
      </c>
      <c r="C208" s="1" t="n">
        <v>45509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57601-2021</t>
        </is>
      </c>
      <c r="B209" s="1" t="n">
        <v>44484</v>
      </c>
      <c r="C209" s="1" t="n">
        <v>45509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57612-2021</t>
        </is>
      </c>
      <c r="B210" s="1" t="n">
        <v>44484</v>
      </c>
      <c r="C210" s="1" t="n">
        <v>45509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57882-2021</t>
        </is>
      </c>
      <c r="B211" s="1" t="n">
        <v>44485</v>
      </c>
      <c r="C211" s="1" t="n">
        <v>45509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59287-2021</t>
        </is>
      </c>
      <c r="B212" s="1" t="n">
        <v>44490</v>
      </c>
      <c r="C212" s="1" t="n">
        <v>45509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59385-2021</t>
        </is>
      </c>
      <c r="B213" s="1" t="n">
        <v>44491</v>
      </c>
      <c r="C213" s="1" t="n">
        <v>45509</v>
      </c>
      <c r="D213" t="inlineStr">
        <is>
          <t>SÖDERMANLANDS LÄN</t>
        </is>
      </c>
      <c r="E213" t="inlineStr">
        <is>
          <t>GNESTA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59616-2021</t>
        </is>
      </c>
      <c r="B214" s="1" t="n">
        <v>44491</v>
      </c>
      <c r="C214" s="1" t="n">
        <v>45509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59619-2021</t>
        </is>
      </c>
      <c r="B215" s="1" t="n">
        <v>44491</v>
      </c>
      <c r="C215" s="1" t="n">
        <v>45509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60919-2021</t>
        </is>
      </c>
      <c r="B216" s="1" t="n">
        <v>44497</v>
      </c>
      <c r="C216" s="1" t="n">
        <v>45509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67479-2021</t>
        </is>
      </c>
      <c r="B217" s="1" t="n">
        <v>44524</v>
      </c>
      <c r="C217" s="1" t="n">
        <v>45509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68362-2021</t>
        </is>
      </c>
      <c r="B218" s="1" t="n">
        <v>44528</v>
      </c>
      <c r="C218" s="1" t="n">
        <v>45509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68687-2021</t>
        </is>
      </c>
      <c r="B219" s="1" t="n">
        <v>44529</v>
      </c>
      <c r="C219" s="1" t="n">
        <v>45509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68389-2021</t>
        </is>
      </c>
      <c r="B220" s="1" t="n">
        <v>44529</v>
      </c>
      <c r="C220" s="1" t="n">
        <v>45509</v>
      </c>
      <c r="D220" t="inlineStr">
        <is>
          <t>SÖDERMANLANDS LÄN</t>
        </is>
      </c>
      <c r="E220" t="inlineStr">
        <is>
          <t>GNESTA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68869-2021</t>
        </is>
      </c>
      <c r="B221" s="1" t="n">
        <v>44529</v>
      </c>
      <c r="C221" s="1" t="n">
        <v>45509</v>
      </c>
      <c r="D221" t="inlineStr">
        <is>
          <t>SÖDERMANLANDS LÄN</t>
        </is>
      </c>
      <c r="E221" t="inlineStr">
        <is>
          <t>GNESTA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69922-2021</t>
        </is>
      </c>
      <c r="B222" s="1" t="n">
        <v>44532</v>
      </c>
      <c r="C222" s="1" t="n">
        <v>45509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70782-2021</t>
        </is>
      </c>
      <c r="B223" s="1" t="n">
        <v>44537</v>
      </c>
      <c r="C223" s="1" t="n">
        <v>45509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71150-2021</t>
        </is>
      </c>
      <c r="B224" s="1" t="n">
        <v>44539</v>
      </c>
      <c r="C224" s="1" t="n">
        <v>45509</v>
      </c>
      <c r="D224" t="inlineStr">
        <is>
          <t>SÖDERMANLANDS LÄN</t>
        </is>
      </c>
      <c r="E224" t="inlineStr">
        <is>
          <t>GNESTA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71772-2021</t>
        </is>
      </c>
      <c r="B225" s="1" t="n">
        <v>44543</v>
      </c>
      <c r="C225" s="1" t="n">
        <v>45509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72341-2021</t>
        </is>
      </c>
      <c r="B226" s="1" t="n">
        <v>44545</v>
      </c>
      <c r="C226" s="1" t="n">
        <v>45509</v>
      </c>
      <c r="D226" t="inlineStr">
        <is>
          <t>SÖDERMANLANDS LÄN</t>
        </is>
      </c>
      <c r="E226" t="inlineStr">
        <is>
          <t>GNESTA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72529-2021</t>
        </is>
      </c>
      <c r="B227" s="1" t="n">
        <v>44546</v>
      </c>
      <c r="C227" s="1" t="n">
        <v>45509</v>
      </c>
      <c r="D227" t="inlineStr">
        <is>
          <t>SÖDERMANLANDS LÄN</t>
        </is>
      </c>
      <c r="E227" t="inlineStr">
        <is>
          <t>GNESTA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73063-2021</t>
        </is>
      </c>
      <c r="B228" s="1" t="n">
        <v>44546</v>
      </c>
      <c r="C228" s="1" t="n">
        <v>45509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73049-2021</t>
        </is>
      </c>
      <c r="B229" s="1" t="n">
        <v>44546</v>
      </c>
      <c r="C229" s="1" t="n">
        <v>45509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73493-2021</t>
        </is>
      </c>
      <c r="B230" s="1" t="n">
        <v>44551</v>
      </c>
      <c r="C230" s="1" t="n">
        <v>45509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73482-2021</t>
        </is>
      </c>
      <c r="B231" s="1" t="n">
        <v>44551</v>
      </c>
      <c r="C231" s="1" t="n">
        <v>45509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954-2022</t>
        </is>
      </c>
      <c r="B232" s="1" t="n">
        <v>44571</v>
      </c>
      <c r="C232" s="1" t="n">
        <v>45509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1216-2022</t>
        </is>
      </c>
      <c r="B233" s="1" t="n">
        <v>44572</v>
      </c>
      <c r="C233" s="1" t="n">
        <v>45509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1549-2022</t>
        </is>
      </c>
      <c r="B234" s="1" t="n">
        <v>44573</v>
      </c>
      <c r="C234" s="1" t="n">
        <v>45509</v>
      </c>
      <c r="D234" t="inlineStr">
        <is>
          <t>SÖDERMANLANDS LÄN</t>
        </is>
      </c>
      <c r="E234" t="inlineStr">
        <is>
          <t>GNESTA</t>
        </is>
      </c>
      <c r="G234" t="n">
        <v>32.6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2276-2022</t>
        </is>
      </c>
      <c r="B235" s="1" t="n">
        <v>44578</v>
      </c>
      <c r="C235" s="1" t="n">
        <v>45509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2464-2022</t>
        </is>
      </c>
      <c r="B236" s="1" t="n">
        <v>44579</v>
      </c>
      <c r="C236" s="1" t="n">
        <v>45509</v>
      </c>
      <c r="D236" t="inlineStr">
        <is>
          <t>SÖDERMANLANDS LÄN</t>
        </is>
      </c>
      <c r="E236" t="inlineStr">
        <is>
          <t>GNESTA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2476-2022</t>
        </is>
      </c>
      <c r="B237" s="1" t="n">
        <v>44579</v>
      </c>
      <c r="C237" s="1" t="n">
        <v>45509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2982-2022</t>
        </is>
      </c>
      <c r="B238" s="1" t="n">
        <v>44581</v>
      </c>
      <c r="C238" s="1" t="n">
        <v>45509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2983-2022</t>
        </is>
      </c>
      <c r="B239" s="1" t="n">
        <v>44581</v>
      </c>
      <c r="C239" s="1" t="n">
        <v>45509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3280-2022</t>
        </is>
      </c>
      <c r="B240" s="1" t="n">
        <v>44584</v>
      </c>
      <c r="C240" s="1" t="n">
        <v>45509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3863-2022</t>
        </is>
      </c>
      <c r="B241" s="1" t="n">
        <v>44587</v>
      </c>
      <c r="C241" s="1" t="n">
        <v>45509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3919-2022</t>
        </is>
      </c>
      <c r="B242" s="1" t="n">
        <v>44587</v>
      </c>
      <c r="C242" s="1" t="n">
        <v>45509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4438-2022</t>
        </is>
      </c>
      <c r="B243" s="1" t="n">
        <v>44589</v>
      </c>
      <c r="C243" s="1" t="n">
        <v>45509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4429-2022</t>
        </is>
      </c>
      <c r="B244" s="1" t="n">
        <v>44589</v>
      </c>
      <c r="C244" s="1" t="n">
        <v>45509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4469-2022</t>
        </is>
      </c>
      <c r="B245" s="1" t="n">
        <v>44589</v>
      </c>
      <c r="C245" s="1" t="n">
        <v>45509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4474-2022</t>
        </is>
      </c>
      <c r="B246" s="1" t="n">
        <v>44589</v>
      </c>
      <c r="C246" s="1" t="n">
        <v>45509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4383-2022</t>
        </is>
      </c>
      <c r="B247" s="1" t="n">
        <v>44589</v>
      </c>
      <c r="C247" s="1" t="n">
        <v>45509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4391-2022</t>
        </is>
      </c>
      <c r="B248" s="1" t="n">
        <v>44589</v>
      </c>
      <c r="C248" s="1" t="n">
        <v>45509</v>
      </c>
      <c r="D248" t="inlineStr">
        <is>
          <t>SÖDERMANLANDS LÄN</t>
        </is>
      </c>
      <c r="E248" t="inlineStr">
        <is>
          <t>GNESTA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4796-2022</t>
        </is>
      </c>
      <c r="B249" s="1" t="n">
        <v>44592</v>
      </c>
      <c r="C249" s="1" t="n">
        <v>45509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5301-2022</t>
        </is>
      </c>
      <c r="B250" s="1" t="n">
        <v>44594</v>
      </c>
      <c r="C250" s="1" t="n">
        <v>45509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5270-2022</t>
        </is>
      </c>
      <c r="B251" s="1" t="n">
        <v>44594</v>
      </c>
      <c r="C251" s="1" t="n">
        <v>45509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5397-2022</t>
        </is>
      </c>
      <c r="B252" s="1" t="n">
        <v>44595</v>
      </c>
      <c r="C252" s="1" t="n">
        <v>45509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6086-2022</t>
        </is>
      </c>
      <c r="B253" s="1" t="n">
        <v>44599</v>
      </c>
      <c r="C253" s="1" t="n">
        <v>45509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6160-2022</t>
        </is>
      </c>
      <c r="B254" s="1" t="n">
        <v>44599</v>
      </c>
      <c r="C254" s="1" t="n">
        <v>45509</v>
      </c>
      <c r="D254" t="inlineStr">
        <is>
          <t>SÖDERMANLANDS LÄN</t>
        </is>
      </c>
      <c r="E254" t="inlineStr">
        <is>
          <t>GNESTA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6155-2022</t>
        </is>
      </c>
      <c r="B255" s="1" t="n">
        <v>44599</v>
      </c>
      <c r="C255" s="1" t="n">
        <v>45509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45509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7303-2022</t>
        </is>
      </c>
      <c r="B257" s="1" t="n">
        <v>44606</v>
      </c>
      <c r="C257" s="1" t="n">
        <v>45509</v>
      </c>
      <c r="D257" t="inlineStr">
        <is>
          <t>SÖDERMANLANDS LÄN</t>
        </is>
      </c>
      <c r="E257" t="inlineStr">
        <is>
          <t>GNESTA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7506-2022</t>
        </is>
      </c>
      <c r="B258" s="1" t="n">
        <v>44607</v>
      </c>
      <c r="C258" s="1" t="n">
        <v>45509</v>
      </c>
      <c r="D258" t="inlineStr">
        <is>
          <t>SÖDERMANLANDS LÄN</t>
        </is>
      </c>
      <c r="E258" t="inlineStr">
        <is>
          <t>GNESTA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11929-2022</t>
        </is>
      </c>
      <c r="B259" s="1" t="n">
        <v>44635</v>
      </c>
      <c r="C259" s="1" t="n">
        <v>45509</v>
      </c>
      <c r="D259" t="inlineStr">
        <is>
          <t>SÖDERMANLANDS LÄN</t>
        </is>
      </c>
      <c r="E259" t="inlineStr">
        <is>
          <t>GNESTA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45509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15105-2022</t>
        </is>
      </c>
      <c r="B261" s="1" t="n">
        <v>44657</v>
      </c>
      <c r="C261" s="1" t="n">
        <v>45509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17305-2022</t>
        </is>
      </c>
      <c r="B262" s="1" t="n">
        <v>44678</v>
      </c>
      <c r="C262" s="1" t="n">
        <v>45509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17304-2022</t>
        </is>
      </c>
      <c r="B263" s="1" t="n">
        <v>44678</v>
      </c>
      <c r="C263" s="1" t="n">
        <v>45509</v>
      </c>
      <c r="D263" t="inlineStr">
        <is>
          <t>SÖDERMANLANDS LÄN</t>
        </is>
      </c>
      <c r="E263" t="inlineStr">
        <is>
          <t>GNESTA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19139-2022</t>
        </is>
      </c>
      <c r="B264" s="1" t="n">
        <v>44691</v>
      </c>
      <c r="C264" s="1" t="n">
        <v>45509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20033-2022</t>
        </is>
      </c>
      <c r="B265" s="1" t="n">
        <v>44697</v>
      </c>
      <c r="C265" s="1" t="n">
        <v>45509</v>
      </c>
      <c r="D265" t="inlineStr">
        <is>
          <t>SÖDERMANLANDS LÄN</t>
        </is>
      </c>
      <c r="E265" t="inlineStr">
        <is>
          <t>GNESTA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20112-2022</t>
        </is>
      </c>
      <c r="B266" s="1" t="n">
        <v>44698</v>
      </c>
      <c r="C266" s="1" t="n">
        <v>45509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20792-2022</t>
        </is>
      </c>
      <c r="B267" s="1" t="n">
        <v>44701</v>
      </c>
      <c r="C267" s="1" t="n">
        <v>45509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24354-2022</t>
        </is>
      </c>
      <c r="B268" s="1" t="n">
        <v>44726</v>
      </c>
      <c r="C268" s="1" t="n">
        <v>45509</v>
      </c>
      <c r="D268" t="inlineStr">
        <is>
          <t>SÖDERMANLANDS LÄN</t>
        </is>
      </c>
      <c r="E268" t="inlineStr">
        <is>
          <t>GNESTA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27428-2022</t>
        </is>
      </c>
      <c r="B269" s="1" t="n">
        <v>44742</v>
      </c>
      <c r="C269" s="1" t="n">
        <v>45509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29527-2022</t>
        </is>
      </c>
      <c r="B270" s="1" t="n">
        <v>44742</v>
      </c>
      <c r="C270" s="1" t="n">
        <v>45509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29758-2022</t>
        </is>
      </c>
      <c r="B271" s="1" t="n">
        <v>44755</v>
      </c>
      <c r="C271" s="1" t="n">
        <v>45509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30706-2022</t>
        </is>
      </c>
      <c r="B272" s="1" t="n">
        <v>44763</v>
      </c>
      <c r="C272" s="1" t="n">
        <v>45509</v>
      </c>
      <c r="D272" t="inlineStr">
        <is>
          <t>SÖDERMANLANDS LÄN</t>
        </is>
      </c>
      <c r="E272" t="inlineStr">
        <is>
          <t>GNESTA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45509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31307-2022</t>
        </is>
      </c>
      <c r="B274" s="1" t="n">
        <v>44774</v>
      </c>
      <c r="C274" s="1" t="n">
        <v>45509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31306-2022</t>
        </is>
      </c>
      <c r="B275" s="1" t="n">
        <v>44773</v>
      </c>
      <c r="C275" s="1" t="n">
        <v>45509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31305-2022</t>
        </is>
      </c>
      <c r="B276" s="1" t="n">
        <v>44774</v>
      </c>
      <c r="C276" s="1" t="n">
        <v>45509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31832-2022</t>
        </is>
      </c>
      <c r="B277" s="1" t="n">
        <v>44776</v>
      </c>
      <c r="C277" s="1" t="n">
        <v>45509</v>
      </c>
      <c r="D277" t="inlineStr">
        <is>
          <t>SÖDERMANLANDS LÄN</t>
        </is>
      </c>
      <c r="E277" t="inlineStr">
        <is>
          <t>GNESTA</t>
        </is>
      </c>
      <c r="F277" t="inlineStr">
        <is>
          <t>Allmännings- och besparingsskogar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31830-2022</t>
        </is>
      </c>
      <c r="B278" s="1" t="n">
        <v>44776</v>
      </c>
      <c r="C278" s="1" t="n">
        <v>45509</v>
      </c>
      <c r="D278" t="inlineStr">
        <is>
          <t>SÖDERMANLANDS LÄN</t>
        </is>
      </c>
      <c r="E278" t="inlineStr">
        <is>
          <t>GNESTA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32273-2022</t>
        </is>
      </c>
      <c r="B279" s="1" t="n">
        <v>44781</v>
      </c>
      <c r="C279" s="1" t="n">
        <v>45509</v>
      </c>
      <c r="D279" t="inlineStr">
        <is>
          <t>SÖDERMANLANDS LÄN</t>
        </is>
      </c>
      <c r="E279" t="inlineStr">
        <is>
          <t>GNESTA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32215-2022</t>
        </is>
      </c>
      <c r="B280" s="1" t="n">
        <v>44781</v>
      </c>
      <c r="C280" s="1" t="n">
        <v>45509</v>
      </c>
      <c r="D280" t="inlineStr">
        <is>
          <t>SÖDERMANLANDS LÄN</t>
        </is>
      </c>
      <c r="E280" t="inlineStr">
        <is>
          <t>GNESTA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32320-2022</t>
        </is>
      </c>
      <c r="B281" s="1" t="n">
        <v>44781</v>
      </c>
      <c r="C281" s="1" t="n">
        <v>45509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32858-2022</t>
        </is>
      </c>
      <c r="B282" s="1" t="n">
        <v>44784</v>
      </c>
      <c r="C282" s="1" t="n">
        <v>45509</v>
      </c>
      <c r="D282" t="inlineStr">
        <is>
          <t>SÖDERMANLANDS LÄN</t>
        </is>
      </c>
      <c r="E282" t="inlineStr">
        <is>
          <t>GNESTA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32854-2022</t>
        </is>
      </c>
      <c r="B283" s="1" t="n">
        <v>44784</v>
      </c>
      <c r="C283" s="1" t="n">
        <v>45509</v>
      </c>
      <c r="D283" t="inlineStr">
        <is>
          <t>SÖDERMANLANDS LÄN</t>
        </is>
      </c>
      <c r="E283" t="inlineStr">
        <is>
          <t>GNESTA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32923-2022</t>
        </is>
      </c>
      <c r="B284" s="1" t="n">
        <v>44784</v>
      </c>
      <c r="C284" s="1" t="n">
        <v>45509</v>
      </c>
      <c r="D284" t="inlineStr">
        <is>
          <t>SÖDERMANLANDS LÄN</t>
        </is>
      </c>
      <c r="E284" t="inlineStr">
        <is>
          <t>GNESTA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33758-2022</t>
        </is>
      </c>
      <c r="B285" s="1" t="n">
        <v>44790</v>
      </c>
      <c r="C285" s="1" t="n">
        <v>45509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34029-2022</t>
        </is>
      </c>
      <c r="B286" s="1" t="n">
        <v>44791</v>
      </c>
      <c r="C286" s="1" t="n">
        <v>45509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34696-2022</t>
        </is>
      </c>
      <c r="B287" s="1" t="n">
        <v>44795</v>
      </c>
      <c r="C287" s="1" t="n">
        <v>45509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34765-2022</t>
        </is>
      </c>
      <c r="B288" s="1" t="n">
        <v>44795</v>
      </c>
      <c r="C288" s="1" t="n">
        <v>45509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35173-2022</t>
        </is>
      </c>
      <c r="B289" s="1" t="n">
        <v>44797</v>
      </c>
      <c r="C289" s="1" t="n">
        <v>45509</v>
      </c>
      <c r="D289" t="inlineStr">
        <is>
          <t>SÖDERMANLANDS LÄN</t>
        </is>
      </c>
      <c r="E289" t="inlineStr">
        <is>
          <t>GNESTA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36205-2022</t>
        </is>
      </c>
      <c r="B290" s="1" t="n">
        <v>44803</v>
      </c>
      <c r="C290" s="1" t="n">
        <v>45509</v>
      </c>
      <c r="D290" t="inlineStr">
        <is>
          <t>SÖDERMANLANDS LÄN</t>
        </is>
      </c>
      <c r="E290" t="inlineStr">
        <is>
          <t>GNESTA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36162-2022</t>
        </is>
      </c>
      <c r="B291" s="1" t="n">
        <v>44803</v>
      </c>
      <c r="C291" s="1" t="n">
        <v>45509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40075-2022</t>
        </is>
      </c>
      <c r="B292" s="1" t="n">
        <v>44819</v>
      </c>
      <c r="C292" s="1" t="n">
        <v>45509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40041-2022</t>
        </is>
      </c>
      <c r="B293" s="1" t="n">
        <v>44820</v>
      </c>
      <c r="C293" s="1" t="n">
        <v>45509</v>
      </c>
      <c r="D293" t="inlineStr">
        <is>
          <t>SÖDERMANLANDS LÄN</t>
        </is>
      </c>
      <c r="E293" t="inlineStr">
        <is>
          <t>GNESTA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42178-2022</t>
        </is>
      </c>
      <c r="B294" s="1" t="n">
        <v>44830</v>
      </c>
      <c r="C294" s="1" t="n">
        <v>45509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42200-2022</t>
        </is>
      </c>
      <c r="B295" s="1" t="n">
        <v>44830</v>
      </c>
      <c r="C295" s="1" t="n">
        <v>45509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42226-2022</t>
        </is>
      </c>
      <c r="B296" s="1" t="n">
        <v>44830</v>
      </c>
      <c r="C296" s="1" t="n">
        <v>45509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42516-2022</t>
        </is>
      </c>
      <c r="B297" s="1" t="n">
        <v>44831</v>
      </c>
      <c r="C297" s="1" t="n">
        <v>45509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42524-2022</t>
        </is>
      </c>
      <c r="B298" s="1" t="n">
        <v>44831</v>
      </c>
      <c r="C298" s="1" t="n">
        <v>45509</v>
      </c>
      <c r="D298" t="inlineStr">
        <is>
          <t>SÖDERMANLANDS LÄN</t>
        </is>
      </c>
      <c r="E298" t="inlineStr">
        <is>
          <t>GNESTA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42520-2022</t>
        </is>
      </c>
      <c r="B299" s="1" t="n">
        <v>44831</v>
      </c>
      <c r="C299" s="1" t="n">
        <v>45509</v>
      </c>
      <c r="D299" t="inlineStr">
        <is>
          <t>SÖDERMANLANDS LÄN</t>
        </is>
      </c>
      <c r="E299" t="inlineStr">
        <is>
          <t>GNESTA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43052-2022</t>
        </is>
      </c>
      <c r="B300" s="1" t="n">
        <v>44833</v>
      </c>
      <c r="C300" s="1" t="n">
        <v>45509</v>
      </c>
      <c r="D300" t="inlineStr">
        <is>
          <t>SÖDERMANLANDS LÄN</t>
        </is>
      </c>
      <c r="E300" t="inlineStr">
        <is>
          <t>GNESTA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43201-2022</t>
        </is>
      </c>
      <c r="B301" s="1" t="n">
        <v>44833</v>
      </c>
      <c r="C301" s="1" t="n">
        <v>45509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43198-2022</t>
        </is>
      </c>
      <c r="B302" s="1" t="n">
        <v>44833</v>
      </c>
      <c r="C302" s="1" t="n">
        <v>45509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43192-2022</t>
        </is>
      </c>
      <c r="B303" s="1" t="n">
        <v>44833</v>
      </c>
      <c r="C303" s="1" t="n">
        <v>45509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44624-2022</t>
        </is>
      </c>
      <c r="B304" s="1" t="n">
        <v>44839</v>
      </c>
      <c r="C304" s="1" t="n">
        <v>45509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44786-2022</t>
        </is>
      </c>
      <c r="B305" s="1" t="n">
        <v>44839</v>
      </c>
      <c r="C305" s="1" t="n">
        <v>45509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44788-2022</t>
        </is>
      </c>
      <c r="B306" s="1" t="n">
        <v>44839</v>
      </c>
      <c r="C306" s="1" t="n">
        <v>45509</v>
      </c>
      <c r="D306" t="inlineStr">
        <is>
          <t>SÖDERMANLANDS LÄN</t>
        </is>
      </c>
      <c r="E306" t="inlineStr">
        <is>
          <t>GNESTA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45652-2022</t>
        </is>
      </c>
      <c r="B307" s="1" t="n">
        <v>44841</v>
      </c>
      <c r="C307" s="1" t="n">
        <v>45509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45911-2022</t>
        </is>
      </c>
      <c r="B308" s="1" t="n">
        <v>44846</v>
      </c>
      <c r="C308" s="1" t="n">
        <v>45509</v>
      </c>
      <c r="D308" t="inlineStr">
        <is>
          <t>SÖDERMANLANDS LÄN</t>
        </is>
      </c>
      <c r="E308" t="inlineStr">
        <is>
          <t>GNESTA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45509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47971-2022</t>
        </is>
      </c>
      <c r="B310" s="1" t="n">
        <v>44853</v>
      </c>
      <c r="C310" s="1" t="n">
        <v>45509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47969-2022</t>
        </is>
      </c>
      <c r="B311" s="1" t="n">
        <v>44853</v>
      </c>
      <c r="C311" s="1" t="n">
        <v>45509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49011-2022</t>
        </is>
      </c>
      <c r="B312" s="1" t="n">
        <v>44860</v>
      </c>
      <c r="C312" s="1" t="n">
        <v>45509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49923-2022</t>
        </is>
      </c>
      <c r="B313" s="1" t="n">
        <v>44865</v>
      </c>
      <c r="C313" s="1" t="n">
        <v>45509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51375-2022</t>
        </is>
      </c>
      <c r="B314" s="1" t="n">
        <v>44869</v>
      </c>
      <c r="C314" s="1" t="n">
        <v>45509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52247-2022</t>
        </is>
      </c>
      <c r="B315" s="1" t="n">
        <v>44873</v>
      </c>
      <c r="C315" s="1" t="n">
        <v>45509</v>
      </c>
      <c r="D315" t="inlineStr">
        <is>
          <t>SÖDERMANLANDS LÄN</t>
        </is>
      </c>
      <c r="E315" t="inlineStr">
        <is>
          <t>GNESTA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56140-2022</t>
        </is>
      </c>
      <c r="B316" s="1" t="n">
        <v>44889</v>
      </c>
      <c r="C316" s="1" t="n">
        <v>45509</v>
      </c>
      <c r="D316" t="inlineStr">
        <is>
          <t>SÖDERMANLANDS LÄN</t>
        </is>
      </c>
      <c r="E316" t="inlineStr">
        <is>
          <t>GNESTA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56442-2022</t>
        </is>
      </c>
      <c r="B317" s="1" t="n">
        <v>44892</v>
      </c>
      <c r="C317" s="1" t="n">
        <v>45509</v>
      </c>
      <c r="D317" t="inlineStr">
        <is>
          <t>SÖDERMANLANDS LÄN</t>
        </is>
      </c>
      <c r="E317" t="inlineStr">
        <is>
          <t>GNESTA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56611-2022</t>
        </is>
      </c>
      <c r="B318" s="1" t="n">
        <v>44893</v>
      </c>
      <c r="C318" s="1" t="n">
        <v>45509</v>
      </c>
      <c r="D318" t="inlineStr">
        <is>
          <t>SÖDERMANLANDS LÄN</t>
        </is>
      </c>
      <c r="E318" t="inlineStr">
        <is>
          <t>GNESTA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58205-2022</t>
        </is>
      </c>
      <c r="B319" s="1" t="n">
        <v>44901</v>
      </c>
      <c r="C319" s="1" t="n">
        <v>45509</v>
      </c>
      <c r="D319" t="inlineStr">
        <is>
          <t>SÖDERMANLANDS LÄN</t>
        </is>
      </c>
      <c r="E319" t="inlineStr">
        <is>
          <t>GNESTA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58219-2022</t>
        </is>
      </c>
      <c r="B320" s="1" t="n">
        <v>44901</v>
      </c>
      <c r="C320" s="1" t="n">
        <v>45509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58428-2022</t>
        </is>
      </c>
      <c r="B321" s="1" t="n">
        <v>44901</v>
      </c>
      <c r="C321" s="1" t="n">
        <v>45509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58451-2022</t>
        </is>
      </c>
      <c r="B322" s="1" t="n">
        <v>44901</v>
      </c>
      <c r="C322" s="1" t="n">
        <v>45509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58457-2022</t>
        </is>
      </c>
      <c r="B323" s="1" t="n">
        <v>44902</v>
      </c>
      <c r="C323" s="1" t="n">
        <v>45509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59477-2022</t>
        </is>
      </c>
      <c r="B324" s="1" t="n">
        <v>44907</v>
      </c>
      <c r="C324" s="1" t="n">
        <v>45509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</v>
      </c>
      <c r="C325" s="1" t="n">
        <v>45509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60124-2022</t>
        </is>
      </c>
      <c r="B326" s="1" t="n">
        <v>44909</v>
      </c>
      <c r="C326" s="1" t="n">
        <v>45509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61179-2022</t>
        </is>
      </c>
      <c r="B327" s="1" t="n">
        <v>44915</v>
      </c>
      <c r="C327" s="1" t="n">
        <v>45509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61896-2022</t>
        </is>
      </c>
      <c r="B328" s="1" t="n">
        <v>44917</v>
      </c>
      <c r="C328" s="1" t="n">
        <v>45509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62020-2022</t>
        </is>
      </c>
      <c r="B329" s="1" t="n">
        <v>44918</v>
      </c>
      <c r="C329" s="1" t="n">
        <v>45509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62016-2022</t>
        </is>
      </c>
      <c r="B330" s="1" t="n">
        <v>44918</v>
      </c>
      <c r="C330" s="1" t="n">
        <v>45509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62018-2022</t>
        </is>
      </c>
      <c r="B331" s="1" t="n">
        <v>44918</v>
      </c>
      <c r="C331" s="1" t="n">
        <v>45509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62022-2022</t>
        </is>
      </c>
      <c r="B332" s="1" t="n">
        <v>44918</v>
      </c>
      <c r="C332" s="1" t="n">
        <v>45509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62216-2022</t>
        </is>
      </c>
      <c r="B333" s="1" t="n">
        <v>44922</v>
      </c>
      <c r="C333" s="1" t="n">
        <v>45509</v>
      </c>
      <c r="D333" t="inlineStr">
        <is>
          <t>SÖDERMANLANDS LÄN</t>
        </is>
      </c>
      <c r="E333" t="inlineStr">
        <is>
          <t>GNESTA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62247-2022</t>
        </is>
      </c>
      <c r="B334" s="1" t="n">
        <v>44922</v>
      </c>
      <c r="C334" s="1" t="n">
        <v>45509</v>
      </c>
      <c r="D334" t="inlineStr">
        <is>
          <t>SÖDERMANLANDS LÄN</t>
        </is>
      </c>
      <c r="E334" t="inlineStr">
        <is>
          <t>GNESTA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62244-2022</t>
        </is>
      </c>
      <c r="B335" s="1" t="n">
        <v>44922</v>
      </c>
      <c r="C335" s="1" t="n">
        <v>45509</v>
      </c>
      <c r="D335" t="inlineStr">
        <is>
          <t>SÖDERMANLANDS LÄN</t>
        </is>
      </c>
      <c r="E335" t="inlineStr">
        <is>
          <t>GNESTA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62252-2022</t>
        </is>
      </c>
      <c r="B336" s="1" t="n">
        <v>44922</v>
      </c>
      <c r="C336" s="1" t="n">
        <v>45509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5-2023</t>
        </is>
      </c>
      <c r="B337" s="1" t="n">
        <v>44927</v>
      </c>
      <c r="C337" s="1" t="n">
        <v>45509</v>
      </c>
      <c r="D337" t="inlineStr">
        <is>
          <t>SÖDERMANLANDS LÄN</t>
        </is>
      </c>
      <c r="E337" t="inlineStr">
        <is>
          <t>GNESTA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1378-2023</t>
        </is>
      </c>
      <c r="B338" s="1" t="n">
        <v>44930</v>
      </c>
      <c r="C338" s="1" t="n">
        <v>45509</v>
      </c>
      <c r="D338" t="inlineStr">
        <is>
          <t>SÖDERMANLANDS LÄN</t>
        </is>
      </c>
      <c r="E338" t="inlineStr">
        <is>
          <t>GNESTA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2920-2023</t>
        </is>
      </c>
      <c r="B339" s="1" t="n">
        <v>44945</v>
      </c>
      <c r="C339" s="1" t="n">
        <v>45509</v>
      </c>
      <c r="D339" t="inlineStr">
        <is>
          <t>SÖDERMANLANDS LÄN</t>
        </is>
      </c>
      <c r="E339" t="inlineStr">
        <is>
          <t>GNESTA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3002-2023</t>
        </is>
      </c>
      <c r="B340" s="1" t="n">
        <v>44945</v>
      </c>
      <c r="C340" s="1" t="n">
        <v>45509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3003-2023</t>
        </is>
      </c>
      <c r="B341" s="1" t="n">
        <v>44945</v>
      </c>
      <c r="C341" s="1" t="n">
        <v>45509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3004-2023</t>
        </is>
      </c>
      <c r="B342" s="1" t="n">
        <v>44945</v>
      </c>
      <c r="C342" s="1" t="n">
        <v>45509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3227-2023</t>
        </is>
      </c>
      <c r="B343" s="1" t="n">
        <v>44946</v>
      </c>
      <c r="C343" s="1" t="n">
        <v>45509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3847-2023</t>
        </is>
      </c>
      <c r="B344" s="1" t="n">
        <v>44951</v>
      </c>
      <c r="C344" s="1" t="n">
        <v>45509</v>
      </c>
      <c r="D344" t="inlineStr">
        <is>
          <t>SÖDERMANLANDS LÄN</t>
        </is>
      </c>
      <c r="E344" t="inlineStr">
        <is>
          <t>GNESTA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4509-2023</t>
        </is>
      </c>
      <c r="B345" s="1" t="n">
        <v>44956</v>
      </c>
      <c r="C345" s="1" t="n">
        <v>45509</v>
      </c>
      <c r="D345" t="inlineStr">
        <is>
          <t>SÖDERMANLANDS LÄN</t>
        </is>
      </c>
      <c r="E345" t="inlineStr">
        <is>
          <t>GNESTA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5822-2023</t>
        </is>
      </c>
      <c r="B346" s="1" t="n">
        <v>44958</v>
      </c>
      <c r="C346" s="1" t="n">
        <v>45509</v>
      </c>
      <c r="D346" t="inlineStr">
        <is>
          <t>SÖDERMANLANDS LÄN</t>
        </is>
      </c>
      <c r="E346" t="inlineStr">
        <is>
          <t>GNESTA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5911-2023</t>
        </is>
      </c>
      <c r="B347" s="1" t="n">
        <v>44963</v>
      </c>
      <c r="C347" s="1" t="n">
        <v>45509</v>
      </c>
      <c r="D347" t="inlineStr">
        <is>
          <t>SÖDERMANLANDS LÄN</t>
        </is>
      </c>
      <c r="E347" t="inlineStr">
        <is>
          <t>GNESTA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5928-2023</t>
        </is>
      </c>
      <c r="B348" s="1" t="n">
        <v>44963</v>
      </c>
      <c r="C348" s="1" t="n">
        <v>45509</v>
      </c>
      <c r="D348" t="inlineStr">
        <is>
          <t>SÖDERMANLANDS LÄN</t>
        </is>
      </c>
      <c r="E348" t="inlineStr">
        <is>
          <t>GNESTA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6216-2023</t>
        </is>
      </c>
      <c r="B349" s="1" t="n">
        <v>44964</v>
      </c>
      <c r="C349" s="1" t="n">
        <v>45509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6394-2023</t>
        </is>
      </c>
      <c r="B350" s="1" t="n">
        <v>44965</v>
      </c>
      <c r="C350" s="1" t="n">
        <v>45509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7214-2023</t>
        </is>
      </c>
      <c r="B351" s="1" t="n">
        <v>44970</v>
      </c>
      <c r="C351" s="1" t="n">
        <v>45509</v>
      </c>
      <c r="D351" t="inlineStr">
        <is>
          <t>SÖDERMANLANDS LÄN</t>
        </is>
      </c>
      <c r="E351" t="inlineStr">
        <is>
          <t>GNESTA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7292-2023</t>
        </is>
      </c>
      <c r="B352" s="1" t="n">
        <v>44970</v>
      </c>
      <c r="C352" s="1" t="n">
        <v>45509</v>
      </c>
      <c r="D352" t="inlineStr">
        <is>
          <t>SÖDERMANLANDS LÄN</t>
        </is>
      </c>
      <c r="E352" t="inlineStr">
        <is>
          <t>GNESTA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7644-2023</t>
        </is>
      </c>
      <c r="B353" s="1" t="n">
        <v>44972</v>
      </c>
      <c r="C353" s="1" t="n">
        <v>45509</v>
      </c>
      <c r="D353" t="inlineStr">
        <is>
          <t>SÖDERMANLANDS LÄN</t>
        </is>
      </c>
      <c r="E353" t="inlineStr">
        <is>
          <t>GNESTA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7657-2023</t>
        </is>
      </c>
      <c r="B354" s="1" t="n">
        <v>44972</v>
      </c>
      <c r="C354" s="1" t="n">
        <v>45509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7669-2023</t>
        </is>
      </c>
      <c r="B355" s="1" t="n">
        <v>44972</v>
      </c>
      <c r="C355" s="1" t="n">
        <v>45509</v>
      </c>
      <c r="D355" t="inlineStr">
        <is>
          <t>SÖDERMANLANDS LÄN</t>
        </is>
      </c>
      <c r="E355" t="inlineStr">
        <is>
          <t>GNESTA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7653-2023</t>
        </is>
      </c>
      <c r="B356" s="1" t="n">
        <v>44972</v>
      </c>
      <c r="C356" s="1" t="n">
        <v>45509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7667-2023</t>
        </is>
      </c>
      <c r="B357" s="1" t="n">
        <v>44972</v>
      </c>
      <c r="C357" s="1" t="n">
        <v>45509</v>
      </c>
      <c r="D357" t="inlineStr">
        <is>
          <t>SÖDERMANLANDS LÄN</t>
        </is>
      </c>
      <c r="E357" t="inlineStr">
        <is>
          <t>GNESTA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7735-2023</t>
        </is>
      </c>
      <c r="B358" s="1" t="n">
        <v>44973</v>
      </c>
      <c r="C358" s="1" t="n">
        <v>45509</v>
      </c>
      <c r="D358" t="inlineStr">
        <is>
          <t>SÖDERMANLANDS LÄN</t>
        </is>
      </c>
      <c r="E358" t="inlineStr">
        <is>
          <t>GNESTA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7777-2023</t>
        </is>
      </c>
      <c r="B359" s="1" t="n">
        <v>44973</v>
      </c>
      <c r="C359" s="1" t="n">
        <v>45509</v>
      </c>
      <c r="D359" t="inlineStr">
        <is>
          <t>SÖDERMANLANDS LÄN</t>
        </is>
      </c>
      <c r="E359" t="inlineStr">
        <is>
          <t>GNESTA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7794-2023</t>
        </is>
      </c>
      <c r="B360" s="1" t="n">
        <v>44973</v>
      </c>
      <c r="C360" s="1" t="n">
        <v>45509</v>
      </c>
      <c r="D360" t="inlineStr">
        <is>
          <t>SÖDERMANLANDS LÄN</t>
        </is>
      </c>
      <c r="E360" t="inlineStr">
        <is>
          <t>GNESTA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7803-2023</t>
        </is>
      </c>
      <c r="B361" s="1" t="n">
        <v>44973</v>
      </c>
      <c r="C361" s="1" t="n">
        <v>45509</v>
      </c>
      <c r="D361" t="inlineStr">
        <is>
          <t>SÖDERMANLANDS LÄN</t>
        </is>
      </c>
      <c r="E361" t="inlineStr">
        <is>
          <t>GNESTA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8013-2023</t>
        </is>
      </c>
      <c r="B362" s="1" t="n">
        <v>44973</v>
      </c>
      <c r="C362" s="1" t="n">
        <v>45509</v>
      </c>
      <c r="D362" t="inlineStr">
        <is>
          <t>SÖDERMANLANDS LÄN</t>
        </is>
      </c>
      <c r="E362" t="inlineStr">
        <is>
          <t>GNESTA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8018-2023</t>
        </is>
      </c>
      <c r="B363" s="1" t="n">
        <v>44973</v>
      </c>
      <c r="C363" s="1" t="n">
        <v>45509</v>
      </c>
      <c r="D363" t="inlineStr">
        <is>
          <t>SÖDERMANLANDS LÄN</t>
        </is>
      </c>
      <c r="E363" t="inlineStr">
        <is>
          <t>GNESTA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9164-2023</t>
        </is>
      </c>
      <c r="B364" s="1" t="n">
        <v>44980</v>
      </c>
      <c r="C364" s="1" t="n">
        <v>45509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9325-2023</t>
        </is>
      </c>
      <c r="B365" s="1" t="n">
        <v>44980</v>
      </c>
      <c r="C365" s="1" t="n">
        <v>45509</v>
      </c>
      <c r="D365" t="inlineStr">
        <is>
          <t>SÖDERMANLANDS LÄN</t>
        </is>
      </c>
      <c r="E365" t="inlineStr">
        <is>
          <t>GNESTA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9178-2023</t>
        </is>
      </c>
      <c r="B366" s="1" t="n">
        <v>44980</v>
      </c>
      <c r="C366" s="1" t="n">
        <v>45509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11726-2023</t>
        </is>
      </c>
      <c r="B367" s="1" t="n">
        <v>44994</v>
      </c>
      <c r="C367" s="1" t="n">
        <v>45509</v>
      </c>
      <c r="D367" t="inlineStr">
        <is>
          <t>SÖDERMANLANDS LÄN</t>
        </is>
      </c>
      <c r="E367" t="inlineStr">
        <is>
          <t>GNESTA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11746-2023</t>
        </is>
      </c>
      <c r="B368" s="1" t="n">
        <v>44994</v>
      </c>
      <c r="C368" s="1" t="n">
        <v>45509</v>
      </c>
      <c r="D368" t="inlineStr">
        <is>
          <t>SÖDERMANLANDS LÄN</t>
        </is>
      </c>
      <c r="E368" t="inlineStr">
        <is>
          <t>GNESTA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12219-2023</t>
        </is>
      </c>
      <c r="B369" s="1" t="n">
        <v>44998</v>
      </c>
      <c r="C369" s="1" t="n">
        <v>45509</v>
      </c>
      <c r="D369" t="inlineStr">
        <is>
          <t>SÖDERMANLANDS LÄN</t>
        </is>
      </c>
      <c r="E369" t="inlineStr">
        <is>
          <t>GNESTA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12624-2023</t>
        </is>
      </c>
      <c r="B370" s="1" t="n">
        <v>45000</v>
      </c>
      <c r="C370" s="1" t="n">
        <v>45509</v>
      </c>
      <c r="D370" t="inlineStr">
        <is>
          <t>SÖDERMANLANDS LÄN</t>
        </is>
      </c>
      <c r="E370" t="inlineStr">
        <is>
          <t>GNESTA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13046-2023</t>
        </is>
      </c>
      <c r="B371" s="1" t="n">
        <v>45002</v>
      </c>
      <c r="C371" s="1" t="n">
        <v>45509</v>
      </c>
      <c r="D371" t="inlineStr">
        <is>
          <t>SÖDERMANLANDS LÄN</t>
        </is>
      </c>
      <c r="E371" t="inlineStr">
        <is>
          <t>GNESTA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13351-2023</t>
        </is>
      </c>
      <c r="B372" s="1" t="n">
        <v>45005</v>
      </c>
      <c r="C372" s="1" t="n">
        <v>45509</v>
      </c>
      <c r="D372" t="inlineStr">
        <is>
          <t>SÖDERMANLANDS LÄN</t>
        </is>
      </c>
      <c r="E372" t="inlineStr">
        <is>
          <t>GNESTA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13346-2023</t>
        </is>
      </c>
      <c r="B373" s="1" t="n">
        <v>45005</v>
      </c>
      <c r="C373" s="1" t="n">
        <v>45509</v>
      </c>
      <c r="D373" t="inlineStr">
        <is>
          <t>SÖDERMANLANDS LÄN</t>
        </is>
      </c>
      <c r="E373" t="inlineStr">
        <is>
          <t>GNESTA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14055-2023</t>
        </is>
      </c>
      <c r="B374" s="1" t="n">
        <v>45008</v>
      </c>
      <c r="C374" s="1" t="n">
        <v>45509</v>
      </c>
      <c r="D374" t="inlineStr">
        <is>
          <t>SÖDERMANLANDS LÄN</t>
        </is>
      </c>
      <c r="E374" t="inlineStr">
        <is>
          <t>GNESTA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15205-2023</t>
        </is>
      </c>
      <c r="B375" s="1" t="n">
        <v>45018</v>
      </c>
      <c r="C375" s="1" t="n">
        <v>45509</v>
      </c>
      <c r="D375" t="inlineStr">
        <is>
          <t>SÖDERMANLANDS LÄN</t>
        </is>
      </c>
      <c r="E375" t="inlineStr">
        <is>
          <t>GNESTA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17155-2023</t>
        </is>
      </c>
      <c r="B376" s="1" t="n">
        <v>45034</v>
      </c>
      <c r="C376" s="1" t="n">
        <v>45509</v>
      </c>
      <c r="D376" t="inlineStr">
        <is>
          <t>SÖDERMANLANDS LÄN</t>
        </is>
      </c>
      <c r="E376" t="inlineStr">
        <is>
          <t>GNESTA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17185-2023</t>
        </is>
      </c>
      <c r="B377" s="1" t="n">
        <v>45034</v>
      </c>
      <c r="C377" s="1" t="n">
        <v>45509</v>
      </c>
      <c r="D377" t="inlineStr">
        <is>
          <t>SÖDERMANLANDS LÄN</t>
        </is>
      </c>
      <c r="E377" t="inlineStr">
        <is>
          <t>GNESTA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45509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45509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45509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45509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45509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45509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45509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45509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45509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45509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45509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45509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45509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45509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45509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45509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45509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45509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45509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45509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45509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45509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45509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45509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45509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45509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45509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45509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45509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45509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45509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45509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45509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45509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45509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45509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45509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45509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45509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45509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45509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45509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45509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45509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45509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45509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45509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45509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45509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45509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45509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45509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45509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45509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45509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45509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45509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45509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45509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45509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45509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45509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45509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45509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45509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45509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45509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45509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45509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45509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45509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45509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45509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45509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45509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45509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45509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45509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45509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45509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45509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45509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45509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45509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45509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45509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45509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45509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45509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45509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45509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45509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45509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45509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45509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45509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45509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45509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45509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45509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45509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45509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45509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45509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45509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45509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45509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45509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45509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45509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45509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45509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45509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45509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45509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45509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45509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45509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45509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45509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45509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45509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45509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45509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45509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45509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45509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45509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45509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45509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45509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45509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45509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45509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45509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45509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45509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45509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45509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45509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45509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45509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45509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45509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45509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45509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45509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45509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45509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45509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45509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45509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45509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45509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45509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45509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45509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45509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45509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45509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45509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45509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45509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45509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45509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30627-2024</t>
        </is>
      </c>
      <c r="B543" s="1" t="n">
        <v>45495</v>
      </c>
      <c r="C543" s="1" t="n">
        <v>45509</v>
      </c>
      <c r="D543" t="inlineStr">
        <is>
          <t>SÖDERMANLANDS LÄN</t>
        </is>
      </c>
      <c r="E543" t="inlineStr">
        <is>
          <t>GNESTA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30638-2024</t>
        </is>
      </c>
      <c r="B544" s="1" t="n">
        <v>45495</v>
      </c>
      <c r="C544" s="1" t="n">
        <v>45509</v>
      </c>
      <c r="D544" t="inlineStr">
        <is>
          <t>SÖDERMANLANDS LÄN</t>
        </is>
      </c>
      <c r="E544" t="inlineStr">
        <is>
          <t>GNESTA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30628-2024</t>
        </is>
      </c>
      <c r="B545" s="1" t="n">
        <v>45495</v>
      </c>
      <c r="C545" s="1" t="n">
        <v>45509</v>
      </c>
      <c r="D545" t="inlineStr">
        <is>
          <t>SÖDERMANLANDS LÄN</t>
        </is>
      </c>
      <c r="E545" t="inlineStr">
        <is>
          <t>GNESTA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30805-2024</t>
        </is>
      </c>
      <c r="B546" s="1" t="n">
        <v>45497</v>
      </c>
      <c r="C546" s="1" t="n">
        <v>45509</v>
      </c>
      <c r="D546" t="inlineStr">
        <is>
          <t>SÖDERMANLANDS LÄN</t>
        </is>
      </c>
      <c r="E546" t="inlineStr">
        <is>
          <t>GNESTA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30804-2024</t>
        </is>
      </c>
      <c r="B547" s="1" t="n">
        <v>45497</v>
      </c>
      <c r="C547" s="1" t="n">
        <v>45509</v>
      </c>
      <c r="D547" t="inlineStr">
        <is>
          <t>SÖDERMANLANDS LÄN</t>
        </is>
      </c>
      <c r="E547" t="inlineStr">
        <is>
          <t>GNESTA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31294-2024</t>
        </is>
      </c>
      <c r="B548" s="1" t="n">
        <v>45504</v>
      </c>
      <c r="C548" s="1" t="n">
        <v>45509</v>
      </c>
      <c r="D548" t="inlineStr">
        <is>
          <t>SÖDERMANLANDS LÄN</t>
        </is>
      </c>
      <c r="E548" t="inlineStr">
        <is>
          <t>GNESTA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45509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31295-2024</t>
        </is>
      </c>
      <c r="B550" s="1" t="n">
        <v>45504</v>
      </c>
      <c r="C550" s="1" t="n">
        <v>45509</v>
      </c>
      <c r="D550" t="inlineStr">
        <is>
          <t>SÖDERMANLANDS LÄN</t>
        </is>
      </c>
      <c r="E550" t="inlineStr">
        <is>
          <t>GNESTA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2024-08-05T10:38:05Z</dcterms:created>
  <dcterms:modified xmlns:dcterms="http://purl.org/dc/terms/" xmlns:xsi="http://www.w3.org/2001/XMLSchema-instance" xsi:type="dcterms:W3CDTF">2024-08-05T10:38:05Z</dcterms:modified>
</cp:coreProperties>
</file>