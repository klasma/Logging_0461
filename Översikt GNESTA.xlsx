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45662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45662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45662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45662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45662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45662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45662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45662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45662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45662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45662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45662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45662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45662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45662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45662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45662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60448-2024</t>
        </is>
      </c>
      <c r="B19" s="1" t="n">
        <v>45643</v>
      </c>
      <c r="C19" s="1" t="n">
        <v>45662</v>
      </c>
      <c r="D19" t="inlineStr">
        <is>
          <t>SÖDERMANLANDS LÄN</t>
        </is>
      </c>
      <c r="E19" t="inlineStr">
        <is>
          <t>GNESTA</t>
        </is>
      </c>
      <c r="G19" t="n">
        <v>1.8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Slåtterfibbla
Tibast
Blåsippa</t>
        </is>
      </c>
      <c r="S19">
        <f>HYPERLINK("https://klasma.github.io/Logging_0461/artfynd/A 60448-2024 artfynd.xlsx", "A 60448-2024")</f>
        <v/>
      </c>
      <c r="T19">
        <f>HYPERLINK("https://klasma.github.io/Logging_0461/kartor/A 60448-2024 karta.png", "A 60448-2024")</f>
        <v/>
      </c>
      <c r="V19">
        <f>HYPERLINK("https://klasma.github.io/Logging_0461/klagomål/A 60448-2024 FSC-klagomål.docx", "A 60448-2024")</f>
        <v/>
      </c>
      <c r="W19">
        <f>HYPERLINK("https://klasma.github.io/Logging_0461/klagomålsmail/A 60448-2024 FSC-klagomål mail.docx", "A 60448-2024")</f>
        <v/>
      </c>
      <c r="X19">
        <f>HYPERLINK("https://klasma.github.io/Logging_0461/tillsyn/A 60448-2024 tillsynsbegäran.docx", "A 60448-2024")</f>
        <v/>
      </c>
      <c r="Y19">
        <f>HYPERLINK("https://klasma.github.io/Logging_0461/tillsynsmail/A 60448-2024 tillsynsbegäran mail.docx", "A 60448-2024")</f>
        <v/>
      </c>
    </row>
    <row r="20" ht="15" customHeight="1">
      <c r="A20" t="inlineStr">
        <is>
          <t>A 37714-2019</t>
        </is>
      </c>
      <c r="B20" s="1" t="n">
        <v>43682</v>
      </c>
      <c r="C20" s="1" t="n">
        <v>45662</v>
      </c>
      <c r="D20" t="inlineStr">
        <is>
          <t>SÖDERMANLANDS LÄN</t>
        </is>
      </c>
      <c r="E20" t="inlineStr">
        <is>
          <t>GNESTA</t>
        </is>
      </c>
      <c r="G20" t="n">
        <v>7.5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HYPERLINK("https://klasma.github.io/Logging_0461/artfynd/A 37714-2019 artfynd.xlsx", "A 37714-2019")</f>
        <v/>
      </c>
      <c r="T20">
        <f>HYPERLINK("https://klasma.github.io/Logging_0461/kartor/A 37714-2019 karta.png", "A 37714-2019")</f>
        <v/>
      </c>
      <c r="V20">
        <f>HYPERLINK("https://klasma.github.io/Logging_0461/klagomål/A 37714-2019 FSC-klagomål.docx", "A 37714-2019")</f>
        <v/>
      </c>
      <c r="W20">
        <f>HYPERLINK("https://klasma.github.io/Logging_0461/klagomålsmail/A 37714-2019 FSC-klagomål mail.docx", "A 37714-2019")</f>
        <v/>
      </c>
      <c r="X20">
        <f>HYPERLINK("https://klasma.github.io/Logging_0461/tillsyn/A 37714-2019 tillsynsbegäran.docx", "A 37714-2019")</f>
        <v/>
      </c>
      <c r="Y20">
        <f>HYPERLINK("https://klasma.github.io/Logging_0461/tillsynsmail/A 37714-2019 tillsynsbegäran mail.docx", "A 37714-2019")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45662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Pärluggla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45662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45662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45662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45662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45662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45662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45662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45662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45662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45662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45662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45662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45662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45662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45662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45662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45662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45662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45662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45662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45662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45662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45662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45662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45662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45662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45662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45662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45662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45662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45662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45662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45662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45662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45662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45662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45662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45662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45662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45662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45662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45662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45662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45662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45662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45662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45662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45662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45662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45662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45662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45662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45662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45662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45662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45662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45662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45662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45662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45662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45662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45662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45662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45662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45662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45662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45662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45662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45662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45662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45662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45662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45662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45662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45662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45662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45662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45662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45662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45662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45662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45662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45662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45662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45662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45662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45662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45662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45662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45662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45662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45662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45662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45662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45662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45662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45662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45662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45662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45662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45662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45662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45662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45662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45662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45662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45662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45662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45662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45662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45662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45662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45662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45662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45662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45662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45662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45662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45662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45662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45662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45662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45662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45662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45662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45662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45662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45662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45662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45662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45662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45662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45662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45662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45662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45662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45662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45662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45662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45662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45662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45662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45662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45662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45662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45662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45662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45662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45662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45662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45662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45662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45662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45662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45662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45662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45662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45662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45662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45662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45662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45662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45662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45662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45662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45662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45662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45662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45662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45662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45662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45662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45662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45662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45662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45662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45662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45662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45662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45662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45662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45662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45662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45662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45662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45662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45662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45662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45662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45662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45662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45662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45662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45662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45662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45662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45662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45662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45662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45662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45662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45662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45662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45662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45662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45662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45662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45662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45662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45662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45662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45662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45662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45662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45662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45662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45662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45662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45662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45662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45662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45662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45662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45662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45662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45662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45662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45662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45662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45662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45662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45662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45662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45662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45662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45662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45662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45662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45662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45662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45662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45662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45662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45662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45662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45662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45662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45662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45662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45662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45662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45662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45662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45662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45662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45662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45662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45662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45662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45662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45662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45662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45662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45662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45662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45662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45662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45662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45662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45662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45662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45662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45662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45662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45662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45662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45662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45662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45662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45662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45662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45662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45662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45662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45662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45662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45662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45662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45662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45662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45662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45662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45662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45662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45662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45662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45662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45662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45662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45662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45662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45662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45662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45662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45662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45662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45662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45662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45662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45662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45662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45662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45662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45662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45662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45662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45662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45662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45662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45662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45662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45662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45662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45662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45662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45662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45662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45662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45662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45662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45662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45662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45662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45662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45662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45662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45662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45662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45662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45662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45662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45662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45662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45662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45662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45662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45662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45662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45662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45662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45662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45662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45662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45662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45662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45662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45662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45662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45662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45662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45662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45662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45662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45662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45662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45662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45662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45662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45662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45662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45662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45662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45662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45662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45662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45662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45662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45662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45662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45662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45662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45662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45662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45662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45662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45662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45662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45662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45662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45662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45662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45662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45662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45662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45662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45662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45662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45662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45662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45662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45662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45662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45662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45662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45662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45662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45662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45662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45662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45662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45662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45662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45662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45662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45662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45662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45662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45662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45662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45662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45662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45662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45662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45662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45662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45662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45662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45662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45662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45662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45662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45662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45662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45662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45662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45662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45662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45662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45662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45662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45662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45662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45662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45662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45662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45662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45662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45662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45662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45662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45662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45662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45662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45662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45662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45662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45662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45662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45662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45662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45662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45662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45662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45662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45662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45662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45662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45662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45662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45662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45662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45662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45662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45662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45662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45662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45662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45662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45662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45662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45662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45662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45662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45662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45662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45662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45662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45662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45662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45662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45662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45662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45662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45662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45662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45662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45662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45662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45662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45662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45662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45662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45662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45662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45662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45662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45662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45662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45662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45662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45662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45662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45662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45662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45662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45662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45662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45662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45662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45662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45662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45662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45662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45662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45662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45662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45662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45662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45662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45662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45662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45662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45662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45662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45662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45662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45662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45662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45662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45662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45662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45662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45662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45662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45662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45662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45662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45662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45662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45662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45662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45662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45662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45662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45662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45662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45662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45662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45662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45662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45662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45662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45662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45662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45662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45662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45662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45662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45662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45662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45662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45662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45662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61142-2024</t>
        </is>
      </c>
      <c r="B595" s="1" t="n">
        <v>45645</v>
      </c>
      <c r="C595" s="1" t="n">
        <v>45662</v>
      </c>
      <c r="D595" t="inlineStr">
        <is>
          <t>SÖDERMANLANDS LÄN</t>
        </is>
      </c>
      <c r="E595" t="inlineStr">
        <is>
          <t>GNESTA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61134-2024</t>
        </is>
      </c>
      <c r="B596" s="1" t="n">
        <v>45645</v>
      </c>
      <c r="C596" s="1" t="n">
        <v>45662</v>
      </c>
      <c r="D596" t="inlineStr">
        <is>
          <t>SÖDERMANLANDS LÄN</t>
        </is>
      </c>
      <c r="E596" t="inlineStr">
        <is>
          <t>GNESTA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60948-2024</t>
        </is>
      </c>
      <c r="B597" s="1" t="n">
        <v>45645</v>
      </c>
      <c r="C597" s="1" t="n">
        <v>45662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2025-01-05T15:51:53Z</dcterms:created>
  <dcterms:modified xmlns:dcterms="http://purl.org/dc/terms/" xmlns:xsi="http://www.w3.org/2001/XMLSchema-instance" xsi:type="dcterms:W3CDTF">2025-01-05T15:51:53Z</dcterms:modified>
</cp:coreProperties>
</file>